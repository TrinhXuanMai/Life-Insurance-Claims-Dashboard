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2"/>
  </bookViews>
  <sheets>
    <sheet name="Individual_Data" sheetId="1" r:id="rId1"/>
    <sheet name="Group_Data" sheetId="2" r:id="rId2"/>
    <sheet name="Analysis" sheetId="3" r:id="rId3"/>
    <sheet name="Pivot_Tables" sheetId="6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<sst xmlns="http://schemas.openxmlformats.org/spreadsheetml/2006/main" count="569" uniqueCount="73">
  <si>
    <t>Individual Death Claims Data — India Life Insurance (FY2018–FY2022)</t>
  </si>
  <si>
    <t>Note: Sahara Life settlement ratio recalculated from claims_paid / claims_intimated due to source data error (original ratio = 0)</t>
  </si>
  <si>
    <t>Insurer</t>
  </si>
  <si>
    <t>Year</t>
  </si>
  <si>
    <t>Category</t>
  </si>
  <si>
    <t>Claims Intimated</t>
  </si>
  <si>
    <t>Claims Paid</t>
  </si>
  <si>
    <t>Amount Paid (INR Cr)</t>
  </si>
  <si>
    <t>Claims Repudiated</t>
  </si>
  <si>
    <t>Claims Rejected</t>
  </si>
  <si>
    <t>Claims Pending (End)</t>
  </si>
  <si>
    <t>Settlement Ratio</t>
  </si>
  <si>
    <t>Repudiation Ratio</t>
  </si>
  <si>
    <t>Pending Ratio</t>
  </si>
  <si>
    <t>Aditya Birla Life</t>
  </si>
  <si>
    <t>2017-18</t>
  </si>
  <si>
    <t>Individual Death Claims</t>
  </si>
  <si>
    <t>2018-19</t>
  </si>
  <si>
    <t>2019-20</t>
  </si>
  <si>
    <t>2020-21</t>
  </si>
  <si>
    <t>Ageas Federal</t>
  </si>
  <si>
    <t>Bajaj Allianz</t>
  </si>
  <si>
    <t>Canara HSBC OBC</t>
  </si>
  <si>
    <t>Edelweiss Tokio</t>
  </si>
  <si>
    <t>Exide Life</t>
  </si>
  <si>
    <t>Future Generali</t>
  </si>
  <si>
    <t>HDFC Life</t>
  </si>
  <si>
    <t>ICICI Prudential</t>
  </si>
  <si>
    <t>India First</t>
  </si>
  <si>
    <t>Kotak Mahindra</t>
  </si>
  <si>
    <t>Max Life</t>
  </si>
  <si>
    <t>PNB Met Life</t>
  </si>
  <si>
    <t>Pramerica Life</t>
  </si>
  <si>
    <t>Reliance Nippon</t>
  </si>
  <si>
    <t>Sahara Life</t>
  </si>
  <si>
    <t>Star Union</t>
  </si>
  <si>
    <t>Tata AIA</t>
  </si>
  <si>
    <t>2021-22</t>
  </si>
  <si>
    <t>Group Death Claims Data — India Life Insurance (FY2018–FY2022)</t>
  </si>
  <si>
    <t>Group policies: employer-employee covers and group credit life insurance</t>
  </si>
  <si>
    <t>Group Death Claims</t>
  </si>
  <si>
    <t xml:space="preserve">  Insurer Ranking — Avg Settlement Ratio (Individual, FY2018–FY2022)</t>
  </si>
  <si>
    <t>Rank</t>
  </si>
  <si>
    <t>Avg Settlement Ratio</t>
  </si>
  <si>
    <t>Performance</t>
  </si>
  <si>
    <t>Top Performer</t>
  </si>
  <si>
    <t>Average</t>
  </si>
  <si>
    <t xml:space="preserve">                                                                            Industry Trend — Claims Volume &amp; Settlement Ratio (FY2018–FY2022)</t>
  </si>
  <si>
    <t>Total Claims Intimated</t>
  </si>
  <si>
    <t>Claims Volume YoY Change (%)</t>
  </si>
  <si>
    <t>Total Claims Paid</t>
  </si>
  <si>
    <t>Total Amount Paid (INR Cr)</t>
  </si>
  <si>
    <t>Avg Settlement Ratio (%)</t>
  </si>
  <si>
    <t>Settlement Ratio YoY Change (pp)</t>
  </si>
  <si>
    <t>Note</t>
  </si>
  <si>
    <t>N/A</t>
  </si>
  <si>
    <t/>
  </si>
  <si>
    <t>COVID Year</t>
  </si>
  <si>
    <t xml:space="preserve">  Individual vs Group — Settlement Ratio by Year</t>
  </si>
  <si>
    <t>Individual Settlement Ratio (%)</t>
  </si>
  <si>
    <t>Group Settlement Ratio (%)</t>
  </si>
  <si>
    <t>LIFE INSURANCE CLAIM SETTLEMENT PERFORMANCE DASHBOARD</t>
  </si>
  <si>
    <t>India Market  |  Individual &amp; Group Death Claims  |  FY2018–FY2022  |  Source: IRDAI Public Disclosures</t>
  </si>
  <si>
    <t>Analysis by Trinh Xuan Mai  |  Actuarial Science, UEH</t>
  </si>
  <si>
    <t>18</t>
  </si>
  <si>
    <t>5 Years</t>
  </si>
  <si>
    <t>98.9%</t>
  </si>
  <si>
    <t>+4.22pp</t>
  </si>
  <si>
    <t>Insurers Analyzed</t>
  </si>
  <si>
    <t>Data Coverage
FY2018–FY2022</t>
  </si>
  <si>
    <t>Highest Settlement
(Max Life)</t>
  </si>
  <si>
    <t>Industry Improvement
FY2018–FY2022</t>
  </si>
  <si>
    <t>Lowest Performer
(Avg ~86%)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</si>
</sst>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sz val="10"/>
      <color rgb="FFBDD7EE"/>
      <name val="Calibri"/>
      <charset val="134"/>
      <scheme val="minor"/>
    </font>
    <font>
      <sz val="9"/>
      <color rgb="FFAAAAAA"/>
      <name val="Calibri"/>
      <charset val="134"/>
      <scheme val="minor"/>
    </font>
    <font>
      <sz val="9"/>
      <color rgb="FF333333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i/>
      <sz val="10"/>
      <color rgb="FF444444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3"/>
      <color rgb="FFFFFFFF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E714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5" fillId="0" borderId="0" xfId="0" applyFont="1"/>
    <xf numFmtId="0" fontId="6" fillId="0" borderId="0" xfId="0" applyFont="1" applyFill="1" applyAlignment="1"/>
    <xf numFmtId="0" fontId="7" fillId="3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8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10" fillId="9" borderId="0" xfId="0" applyFont="1" applyFill="1"/>
    <xf numFmtId="0" fontId="1" fillId="4" borderId="0" xfId="0" applyFont="1" applyFill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Top 5 Insurers — Avg Settlement Ratio (%)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Pivot_Tables!$A$1:$A$5</c:f>
              <c:strCache>
                <c:ptCount val="5"/>
                <c:pt idx="0">
                  <c:v>Max Life</c:v>
                </c:pt>
                <c:pt idx="1">
                  <c:v>Tata AIA</c:v>
                </c:pt>
                <c:pt idx="2">
                  <c:v>HDFC Life</c:v>
                </c:pt>
                <c:pt idx="3">
                  <c:v>ICICI Prudential</c:v>
                </c:pt>
                <c:pt idx="4">
                  <c:v>Exide Life</c:v>
                </c:pt>
              </c:strCache>
            </c:strRef>
          </c:cat>
          <c:val>
            <c:numRef>
              <c:f>Pivot_Tables!$B$1:$B$5</c:f>
              <c:numCache>
                <c:formatCode>General</c:formatCode>
                <c:ptCount val="5"/>
                <c:pt idx="0">
                  <c:v>98.89</c:v>
                </c:pt>
                <c:pt idx="1">
                  <c:v>98.54</c:v>
                </c:pt>
                <c:pt idx="2">
                  <c:v>98.48</c:v>
                </c:pt>
                <c:pt idx="3">
                  <c:v>98.05</c:v>
                </c:pt>
                <c:pt idx="4">
                  <c:v>97.63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Settlement Ratio (%)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362a62a-879b-4812-8f7e-0ac8d136e50a}"/>
      </c:ext>
    </c:extLst>
  </c:chart>
  <c:txPr>
    <a:bodyPr/>
    <a:lstStyle/>
    <a:p>
      <a:pPr>
        <a:defRPr lang="en-US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Industry Settlement Ratio Trend (FY2018–FY2022)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000" cap="rnd" cmpd="sng" algn="ctr">
              <a:solidFill>
                <a:srgbClr val="1E7145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Pivot_Tables!$D$1:$D$5</c:f>
              <c:strCache>
                <c:ptCount val="5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</c:strCache>
            </c:strRef>
          </c:cat>
          <c:val>
            <c:numRef>
              <c:f>Pivot_Tables!$E$1:$E$5</c:f>
              <c:numCache>
                <c:formatCode>General</c:formatCode>
                <c:ptCount val="5"/>
                <c:pt idx="0">
                  <c:v>94.31</c:v>
                </c:pt>
                <c:pt idx="1">
                  <c:v>96.77</c:v>
                </c:pt>
                <c:pt idx="2">
                  <c:v>96.53</c:v>
                </c:pt>
                <c:pt idx="3">
                  <c:v>97.86</c:v>
                </c:pt>
                <c:pt idx="4">
                  <c:v>98.53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Settlement Ratio (%)</a:t>
                </a:r>
              </a:p>
            </c:rich>
          </c:tx>
          <c:layout/>
          <c:overlay val="0"/>
        </c:title>
        <c:numFmt formatCode="0.0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9180b70-d5de-4c3b-a506-003a29c66795}"/>
      </c:ext>
    </c:extLst>
  </c:chart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Individual vs Group — Settlement Ratio by Year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"Individual (%)"</c:f>
              <c:strCache>
                <c:ptCount val="1"/>
                <c:pt idx="0">
                  <c:v>Individual (%)</c:v>
                </c:pt>
              </c:strCache>
            </c:strRef>
          </c:tx>
          <c:spPr>
            <a:solidFill>
              <a:srgbClr val="2E75B6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Pivot_Tables!$G$1:$G$5</c:f>
              <c:strCache>
                <c:ptCount val="5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</c:strCache>
            </c:strRef>
          </c:cat>
          <c:val>
            <c:numRef>
              <c:f>Pivot_Tables!$H$1:$H$5</c:f>
              <c:numCache>
                <c:formatCode>General</c:formatCode>
                <c:ptCount val="5"/>
                <c:pt idx="0">
                  <c:v>94.31</c:v>
                </c:pt>
                <c:pt idx="1">
                  <c:v>96.77</c:v>
                </c:pt>
                <c:pt idx="2">
                  <c:v>96.53</c:v>
                </c:pt>
                <c:pt idx="3">
                  <c:v>97.86</c:v>
                </c:pt>
                <c:pt idx="4">
                  <c:v>98.53</c:v>
                </c:pt>
              </c:numCache>
            </c:numRef>
          </c:val>
        </c:ser>
        <c:ser>
          <c:idx val="1"/>
          <c:order val="1"/>
          <c:tx>
            <c:strRef>
              <c:f>"Group (%)"</c:f>
              <c:strCache>
                <c:ptCount val="1"/>
                <c:pt idx="0">
                  <c:v>Group (%)</c:v>
                </c:pt>
              </c:strCache>
            </c:strRef>
          </c:tx>
          <c:spPr>
            <a:solidFill>
              <a:srgbClr val="1E7145"/>
            </a:solidFill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Pivot_Tables!$G$1:$G$5</c:f>
              <c:strCache>
                <c:ptCount val="5"/>
                <c:pt idx="0">
                  <c:v>2017-18</c:v>
                </c:pt>
                <c:pt idx="1">
                  <c:v>2018-19</c:v>
                </c:pt>
                <c:pt idx="2">
                  <c:v>2019-20</c:v>
                </c:pt>
                <c:pt idx="3">
                  <c:v>2020-21</c:v>
                </c:pt>
                <c:pt idx="4">
                  <c:v>2021-22</c:v>
                </c:pt>
              </c:strCache>
            </c:strRef>
          </c:cat>
          <c:val>
            <c:numRef>
              <c:f>Pivot_Tables!$I$1:$I$5</c:f>
              <c:numCache>
                <c:formatCode>General</c:formatCode>
                <c:ptCount val="5"/>
                <c:pt idx="0">
                  <c:v>92.28</c:v>
                </c:pt>
                <c:pt idx="1">
                  <c:v>92.05</c:v>
                </c:pt>
                <c:pt idx="2">
                  <c:v>92.79</c:v>
                </c:pt>
                <c:pt idx="3">
                  <c:v>92.37</c:v>
                </c:pt>
                <c:pt idx="4">
                  <c:v>99.43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Settlement Ratio (%)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a3dd45-e43a-4ef6-a614-42350fb9b501}"/>
      </c:ext>
    </c:extLst>
  </c:chart>
  <c:txPr>
    <a:bodyPr/>
    <a:lstStyle/>
    <a:p>
      <a:pPr>
        <a:defRPr lang="en-US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</xdr:colOff>
      <xdr:row>11</xdr:row>
      <xdr:rowOff>24130</xdr:rowOff>
    </xdr:from>
    <xdr:ext cx="6472555" cy="4197350"/>
    <xdr:graphicFrame>
      <xdr:nvGraphicFramePr>
        <xdr:cNvPr id="2" name="Chart 1"/>
        <xdr:cNvGraphicFramePr/>
      </xdr:nvGraphicFramePr>
      <xdr:xfrm>
        <a:off x="7620" y="2871470"/>
        <a:ext cx="6472555" cy="4197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213360</xdr:colOff>
      <xdr:row>11</xdr:row>
      <xdr:rowOff>27305</xdr:rowOff>
    </xdr:from>
    <xdr:ext cx="6480000" cy="4152360"/>
    <xdr:graphicFrame>
      <xdr:nvGraphicFramePr>
        <xdr:cNvPr id="3" name="Chart 2"/>
        <xdr:cNvGraphicFramePr/>
      </xdr:nvGraphicFramePr>
      <xdr:xfrm>
        <a:off x="6934200" y="2874645"/>
        <a:ext cx="6479540" cy="41522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711835</xdr:colOff>
      <xdr:row>38</xdr:row>
      <xdr:rowOff>15240</xdr:rowOff>
    </xdr:from>
    <xdr:ext cx="6480000" cy="4159980"/>
    <xdr:graphicFrame>
      <xdr:nvGraphicFramePr>
        <xdr:cNvPr id="4" name="Chart 3"/>
        <xdr:cNvGraphicFramePr/>
      </xdr:nvGraphicFramePr>
      <xdr:xfrm>
        <a:off x="3592195" y="7871460"/>
        <a:ext cx="6479540" cy="4159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6"/>
  <sheetViews>
    <sheetView showGridLines="0" zoomScale="40" zoomScaleNormal="40" workbookViewId="0">
      <pane ySplit="2" topLeftCell="A3" activePane="bottomLeft" state="frozen"/>
      <selection/>
      <selection pane="bottomLeft" activeCell="D12" sqref="D12"/>
    </sheetView>
  </sheetViews>
  <sheetFormatPr defaultColWidth="9" defaultRowHeight="14.4"/>
  <cols>
    <col min="1" max="1" width="20" customWidth="1"/>
    <col min="2" max="2" width="10" customWidth="1"/>
    <col min="3" max="3" width="22" customWidth="1"/>
    <col min="4" max="4" width="16" customWidth="1"/>
    <col min="5" max="5" width="14" customWidth="1"/>
    <col min="6" max="6" width="20" customWidth="1"/>
    <col min="7" max="7" width="18" customWidth="1"/>
    <col min="8" max="8" width="16" customWidth="1"/>
    <col min="9" max="9" width="20" customWidth="1"/>
    <col min="10" max="11" width="16" customWidth="1"/>
    <col min="12" max="12" width="14" customWidth="1"/>
  </cols>
  <sheetData>
    <row r="1" ht="28" customHeight="1" spans="1:12">
      <c r="A1" s="17" t="s">
        <v>0</v>
      </c>
    </row>
    <row r="2" spans="1:12">
      <c r="A2" s="20" t="s">
        <v>1</v>
      </c>
    </row>
    <row r="3" spans="1:12">
      <c r="A3" s="19" t="s">
        <v>2</v>
      </c>
      <c r="B3" s="19" t="s">
        <v>3</v>
      </c>
      <c r="C3" s="19" t="s">
        <v>4</v>
      </c>
      <c r="D3" s="19" t="s">
        <v>5</v>
      </c>
      <c r="E3" s="19" t="s">
        <v>6</v>
      </c>
      <c r="F3" s="19" t="s">
        <v>7</v>
      </c>
      <c r="G3" s="19" t="s">
        <v>8</v>
      </c>
      <c r="H3" s="19" t="s">
        <v>9</v>
      </c>
      <c r="I3" s="19" t="s">
        <v>10</v>
      </c>
      <c r="J3" s="19" t="s">
        <v>11</v>
      </c>
      <c r="K3" s="19" t="s">
        <v>12</v>
      </c>
      <c r="L3" s="19" t="s">
        <v>13</v>
      </c>
    </row>
    <row r="4" spans="1:12">
      <c r="A4" s="14" t="s">
        <v>14</v>
      </c>
      <c r="B4" s="14" t="s">
        <v>15</v>
      </c>
      <c r="C4" s="14" t="s">
        <v>16</v>
      </c>
      <c r="D4" s="14">
        <v>5443</v>
      </c>
      <c r="E4" s="14">
        <v>5292</v>
      </c>
      <c r="F4" s="14">
        <v>248.155021966</v>
      </c>
      <c r="G4" s="14">
        <v>154</v>
      </c>
      <c r="H4" s="14">
        <v>0</v>
      </c>
      <c r="I4" s="14">
        <v>24</v>
      </c>
      <c r="J4" s="14">
        <v>0.963758878164269</v>
      </c>
      <c r="K4" s="14">
        <v>0.0280458932799125</v>
      </c>
      <c r="L4" s="14">
        <v>0.0043707885631032</v>
      </c>
    </row>
    <row r="5" spans="1:12">
      <c r="A5" s="13" t="s">
        <v>14</v>
      </c>
      <c r="B5" s="13" t="s">
        <v>17</v>
      </c>
      <c r="C5" s="13" t="s">
        <v>16</v>
      </c>
      <c r="D5" s="13">
        <v>5215</v>
      </c>
      <c r="E5" s="13">
        <v>5110</v>
      </c>
      <c r="F5" s="13">
        <v>276.439101792329</v>
      </c>
      <c r="G5" s="13">
        <v>126</v>
      </c>
      <c r="H5" s="13">
        <v>0</v>
      </c>
      <c r="I5" s="13">
        <v>24</v>
      </c>
      <c r="J5" s="13">
        <v>0.97148288973384</v>
      </c>
      <c r="K5" s="13">
        <v>0.0239543726235741</v>
      </c>
      <c r="L5" s="13">
        <v>0.0045627376425855</v>
      </c>
    </row>
    <row r="6" spans="1:12">
      <c r="A6" s="14" t="s">
        <v>14</v>
      </c>
      <c r="B6" s="14" t="s">
        <v>18</v>
      </c>
      <c r="C6" s="14" t="s">
        <v>16</v>
      </c>
      <c r="D6" s="14">
        <v>5138</v>
      </c>
      <c r="E6" s="14">
        <v>5035</v>
      </c>
      <c r="F6" s="14">
        <v>342.893804926</v>
      </c>
      <c r="G6" s="14">
        <v>108</v>
      </c>
      <c r="H6" s="14">
        <v>0</v>
      </c>
      <c r="I6" s="14">
        <v>19</v>
      </c>
      <c r="J6" s="14">
        <v>0.975397132894227</v>
      </c>
      <c r="K6" s="14">
        <v>0.0209221232080588</v>
      </c>
      <c r="L6" s="14">
        <v>0.003680743897714</v>
      </c>
    </row>
    <row r="7" spans="1:12">
      <c r="A7" s="13" t="s">
        <v>14</v>
      </c>
      <c r="B7" s="13" t="s">
        <v>19</v>
      </c>
      <c r="C7" s="13" t="s">
        <v>16</v>
      </c>
      <c r="D7" s="13">
        <v>6455</v>
      </c>
      <c r="E7" s="13">
        <v>6347</v>
      </c>
      <c r="F7" s="13">
        <v>440.264287884384</v>
      </c>
      <c r="G7" s="13">
        <v>116</v>
      </c>
      <c r="H7" s="13">
        <v>0</v>
      </c>
      <c r="I7" s="13">
        <v>11</v>
      </c>
      <c r="J7" s="13">
        <v>0.980383070744517</v>
      </c>
      <c r="K7" s="13">
        <v>0.0179178251467408</v>
      </c>
      <c r="L7" s="13">
        <v>0.0016991041087426</v>
      </c>
    </row>
    <row r="8" spans="1:12">
      <c r="A8" s="14" t="s">
        <v>20</v>
      </c>
      <c r="B8" s="14" t="s">
        <v>15</v>
      </c>
      <c r="C8" s="14" t="s">
        <v>16</v>
      </c>
      <c r="D8" s="14">
        <v>1154</v>
      </c>
      <c r="E8" s="14">
        <v>1068</v>
      </c>
      <c r="F8" s="14">
        <v>45.148741038</v>
      </c>
      <c r="G8" s="14">
        <v>87</v>
      </c>
      <c r="H8" s="14">
        <v>0</v>
      </c>
      <c r="I8" s="14">
        <v>8</v>
      </c>
      <c r="J8" s="14">
        <v>0.919896640826873</v>
      </c>
      <c r="K8" s="14">
        <v>0.0749354005167958</v>
      </c>
      <c r="L8" s="14">
        <v>0.0068906115417743</v>
      </c>
    </row>
    <row r="9" spans="1:12">
      <c r="A9" s="13" t="s">
        <v>20</v>
      </c>
      <c r="B9" s="13" t="s">
        <v>17</v>
      </c>
      <c r="C9" s="13" t="s">
        <v>16</v>
      </c>
      <c r="D9" s="13">
        <v>1300</v>
      </c>
      <c r="E9" s="13">
        <v>1251</v>
      </c>
      <c r="F9" s="13">
        <v>53.0184595955</v>
      </c>
      <c r="G9" s="13">
        <v>47</v>
      </c>
      <c r="H9" s="13">
        <v>0</v>
      </c>
      <c r="I9" s="13">
        <v>8</v>
      </c>
      <c r="J9" s="13">
        <v>0.957886676875957</v>
      </c>
      <c r="K9" s="13">
        <v>0.0359877488514548</v>
      </c>
      <c r="L9" s="13">
        <v>0.006125574272588</v>
      </c>
    </row>
    <row r="10" spans="1:12">
      <c r="A10" s="14" t="s">
        <v>20</v>
      </c>
      <c r="B10" s="14" t="s">
        <v>18</v>
      </c>
      <c r="C10" s="14" t="s">
        <v>16</v>
      </c>
      <c r="D10" s="14">
        <v>1408</v>
      </c>
      <c r="E10" s="14">
        <v>1366</v>
      </c>
      <c r="F10" s="14">
        <v>63.2738496568</v>
      </c>
      <c r="G10" s="14">
        <v>45</v>
      </c>
      <c r="H10" s="14">
        <v>0</v>
      </c>
      <c r="I10" s="14">
        <v>5</v>
      </c>
      <c r="J10" s="14">
        <v>0.964689265536723</v>
      </c>
      <c r="K10" s="14">
        <v>0.0317796610169491</v>
      </c>
      <c r="L10" s="14">
        <v>0.0035310734463276</v>
      </c>
    </row>
    <row r="11" spans="1:12">
      <c r="A11" s="13" t="s">
        <v>20</v>
      </c>
      <c r="B11" s="13" t="s">
        <v>19</v>
      </c>
      <c r="C11" s="13" t="s">
        <v>16</v>
      </c>
      <c r="D11" s="13">
        <v>1800</v>
      </c>
      <c r="E11" s="13">
        <v>1716</v>
      </c>
      <c r="F11" s="13">
        <v>73.908647011</v>
      </c>
      <c r="G11" s="13">
        <v>38</v>
      </c>
      <c r="H11" s="13">
        <v>1</v>
      </c>
      <c r="I11" s="13">
        <v>50</v>
      </c>
      <c r="J11" s="13">
        <v>0.950692520775623</v>
      </c>
      <c r="K11" s="13">
        <v>0.0216066481994459</v>
      </c>
      <c r="L11" s="13">
        <v>0.0277008310249307</v>
      </c>
    </row>
    <row r="12" spans="1:12">
      <c r="A12" s="14" t="s">
        <v>21</v>
      </c>
      <c r="B12" s="14" t="s">
        <v>15</v>
      </c>
      <c r="C12" s="14" t="s">
        <v>16</v>
      </c>
      <c r="D12" s="14">
        <v>14252</v>
      </c>
      <c r="E12" s="14">
        <v>13176</v>
      </c>
      <c r="F12" s="14">
        <v>311.588020240429</v>
      </c>
      <c r="G12" s="14">
        <v>829</v>
      </c>
      <c r="H12" s="14">
        <v>60</v>
      </c>
      <c r="I12" s="14">
        <v>3</v>
      </c>
      <c r="J12" s="14">
        <v>0.920433112120154</v>
      </c>
      <c r="K12" s="14">
        <v>0.0621026894865525</v>
      </c>
      <c r="L12" s="14">
        <v>0.0002095703807195</v>
      </c>
    </row>
    <row r="13" spans="1:12">
      <c r="A13" s="13" t="s">
        <v>21</v>
      </c>
      <c r="B13" s="13" t="s">
        <v>17</v>
      </c>
      <c r="C13" s="13" t="s">
        <v>16</v>
      </c>
      <c r="D13" s="13">
        <v>12517</v>
      </c>
      <c r="E13" s="13">
        <v>12130</v>
      </c>
      <c r="F13" s="13">
        <v>349.015520204</v>
      </c>
      <c r="G13" s="13">
        <v>445</v>
      </c>
      <c r="H13" s="13">
        <v>153</v>
      </c>
      <c r="I13" s="13">
        <v>3</v>
      </c>
      <c r="J13" s="13">
        <v>0.950105741364455</v>
      </c>
      <c r="K13" s="13">
        <v>0.0468395081068379</v>
      </c>
      <c r="L13" s="13">
        <v>0.0002349808099005</v>
      </c>
    </row>
    <row r="14" spans="1:12">
      <c r="A14" s="14" t="s">
        <v>21</v>
      </c>
      <c r="B14" s="14" t="s">
        <v>18</v>
      </c>
      <c r="C14" s="14" t="s">
        <v>16</v>
      </c>
      <c r="D14" s="14">
        <v>12124</v>
      </c>
      <c r="E14" s="14">
        <v>11887</v>
      </c>
      <c r="F14" s="14">
        <v>310.714467555</v>
      </c>
      <c r="G14" s="14">
        <v>237</v>
      </c>
      <c r="H14" s="14">
        <v>0</v>
      </c>
      <c r="I14" s="14">
        <v>2</v>
      </c>
      <c r="J14" s="14">
        <v>0.980209449987631</v>
      </c>
      <c r="K14" s="14">
        <v>0.0195431681372144</v>
      </c>
      <c r="L14" s="14">
        <v>0.000164921250103</v>
      </c>
    </row>
    <row r="15" spans="1:12">
      <c r="A15" s="13" t="s">
        <v>21</v>
      </c>
      <c r="B15" s="13" t="s">
        <v>19</v>
      </c>
      <c r="C15" s="13" t="s">
        <v>16</v>
      </c>
      <c r="D15" s="13">
        <v>14331</v>
      </c>
      <c r="E15" s="13">
        <v>14115</v>
      </c>
      <c r="F15" s="13">
        <v>410.6768054422</v>
      </c>
      <c r="G15" s="13">
        <v>213</v>
      </c>
      <c r="H15" s="13">
        <v>0</v>
      </c>
      <c r="I15" s="13">
        <v>5</v>
      </c>
      <c r="J15" s="13">
        <v>0.984790343961488</v>
      </c>
      <c r="K15" s="13">
        <v>0.0148608107165282</v>
      </c>
      <c r="L15" s="13">
        <v>0.0003488453219842</v>
      </c>
    </row>
    <row r="16" spans="1:12">
      <c r="A16" s="14" t="s">
        <v>22</v>
      </c>
      <c r="B16" s="14" t="s">
        <v>15</v>
      </c>
      <c r="C16" s="14" t="s">
        <v>16</v>
      </c>
      <c r="D16" s="14">
        <v>836</v>
      </c>
      <c r="E16" s="14">
        <v>797</v>
      </c>
      <c r="F16" s="14">
        <v>49.127114511</v>
      </c>
      <c r="G16" s="14">
        <v>38</v>
      </c>
      <c r="H16" s="14">
        <v>0</v>
      </c>
      <c r="I16" s="14">
        <v>1</v>
      </c>
      <c r="J16" s="14">
        <v>0.95221027479092</v>
      </c>
      <c r="K16" s="14">
        <v>0.045400238948626</v>
      </c>
      <c r="L16" s="14">
        <v>0.001194743130227</v>
      </c>
    </row>
    <row r="17" spans="1:12">
      <c r="A17" s="13" t="s">
        <v>22</v>
      </c>
      <c r="B17" s="13" t="s">
        <v>17</v>
      </c>
      <c r="C17" s="13" t="s">
        <v>16</v>
      </c>
      <c r="D17" s="13">
        <v>1004</v>
      </c>
      <c r="E17" s="13">
        <v>946</v>
      </c>
      <c r="F17" s="13">
        <v>74.085316879</v>
      </c>
      <c r="G17" s="13">
        <v>59</v>
      </c>
      <c r="H17" s="13">
        <v>0</v>
      </c>
      <c r="I17" s="13">
        <v>1</v>
      </c>
      <c r="J17" s="13">
        <v>0.940357852882704</v>
      </c>
      <c r="K17" s="13">
        <v>0.0586481113320079</v>
      </c>
      <c r="L17" s="13">
        <v>0.0009940357852882</v>
      </c>
    </row>
    <row r="18" spans="1:12">
      <c r="A18" s="14" t="s">
        <v>22</v>
      </c>
      <c r="B18" s="14" t="s">
        <v>18</v>
      </c>
      <c r="C18" s="14" t="s">
        <v>16</v>
      </c>
      <c r="D18" s="14">
        <v>1275</v>
      </c>
      <c r="E18" s="14">
        <v>1252</v>
      </c>
      <c r="F18" s="14">
        <v>106.529748698309</v>
      </c>
      <c r="G18" s="14">
        <v>22</v>
      </c>
      <c r="H18" s="14">
        <v>0</v>
      </c>
      <c r="I18" s="14">
        <v>2</v>
      </c>
      <c r="J18" s="14">
        <v>0.981191222570533</v>
      </c>
      <c r="K18" s="14">
        <v>0.0172413793103448</v>
      </c>
      <c r="L18" s="14">
        <v>0.0015673981191222</v>
      </c>
    </row>
    <row r="19" spans="1:12">
      <c r="A19" s="13" t="s">
        <v>22</v>
      </c>
      <c r="B19" s="13" t="s">
        <v>19</v>
      </c>
      <c r="C19" s="13" t="s">
        <v>16</v>
      </c>
      <c r="D19" s="13">
        <v>1897</v>
      </c>
      <c r="E19" s="13">
        <v>1844</v>
      </c>
      <c r="F19" s="13">
        <v>156.075726383819</v>
      </c>
      <c r="G19" s="13">
        <v>30</v>
      </c>
      <c r="H19" s="13">
        <v>0</v>
      </c>
      <c r="I19" s="13">
        <v>25</v>
      </c>
      <c r="J19" s="13">
        <v>0.971037388098999</v>
      </c>
      <c r="K19" s="13">
        <v>0.0157977883096366</v>
      </c>
      <c r="L19" s="13">
        <v>0.0131648235913638</v>
      </c>
    </row>
    <row r="20" spans="1:12">
      <c r="A20" s="14" t="s">
        <v>23</v>
      </c>
      <c r="B20" s="14" t="s">
        <v>15</v>
      </c>
      <c r="C20" s="14" t="s">
        <v>16</v>
      </c>
      <c r="D20" s="14">
        <v>189</v>
      </c>
      <c r="E20" s="14">
        <v>180</v>
      </c>
      <c r="F20" s="14">
        <v>11.313629295</v>
      </c>
      <c r="G20" s="14">
        <v>9</v>
      </c>
      <c r="H20" s="14">
        <v>0</v>
      </c>
      <c r="I20" s="14">
        <v>0</v>
      </c>
      <c r="J20" s="14">
        <v>0.952380952380952</v>
      </c>
      <c r="K20" s="14">
        <v>0.0476190476190476</v>
      </c>
      <c r="L20" s="14">
        <v>0</v>
      </c>
    </row>
    <row r="21" spans="1:12">
      <c r="A21" s="13" t="s">
        <v>23</v>
      </c>
      <c r="B21" s="13" t="s">
        <v>17</v>
      </c>
      <c r="C21" s="13" t="s">
        <v>16</v>
      </c>
      <c r="D21" s="13">
        <v>239</v>
      </c>
      <c r="E21" s="13">
        <v>229</v>
      </c>
      <c r="F21" s="13">
        <v>13.418339916593</v>
      </c>
      <c r="G21" s="13">
        <v>10</v>
      </c>
      <c r="H21" s="13">
        <v>0</v>
      </c>
      <c r="I21" s="13">
        <v>0</v>
      </c>
      <c r="J21" s="13">
        <v>0.9581589958159</v>
      </c>
      <c r="K21" s="13">
        <v>0.0418410041841004</v>
      </c>
      <c r="L21" s="13">
        <v>0</v>
      </c>
    </row>
    <row r="22" spans="1:12">
      <c r="A22" s="14" t="s">
        <v>23</v>
      </c>
      <c r="B22" s="14" t="s">
        <v>18</v>
      </c>
      <c r="C22" s="14" t="s">
        <v>16</v>
      </c>
      <c r="D22" s="14">
        <v>326</v>
      </c>
      <c r="E22" s="14">
        <v>272</v>
      </c>
      <c r="F22" s="14">
        <v>21.798861520121</v>
      </c>
      <c r="G22" s="14">
        <v>54</v>
      </c>
      <c r="H22" s="14">
        <v>0</v>
      </c>
      <c r="I22" s="14">
        <v>0</v>
      </c>
      <c r="J22" s="14">
        <v>0.834355828220859</v>
      </c>
      <c r="K22" s="14">
        <v>0.165644171779141</v>
      </c>
      <c r="L22" s="14">
        <v>0</v>
      </c>
    </row>
    <row r="23" spans="1:12">
      <c r="A23" s="13" t="s">
        <v>23</v>
      </c>
      <c r="B23" s="13" t="s">
        <v>19</v>
      </c>
      <c r="C23" s="13" t="s">
        <v>16</v>
      </c>
      <c r="D23" s="13">
        <v>502</v>
      </c>
      <c r="E23" s="13">
        <v>487</v>
      </c>
      <c r="F23" s="13">
        <v>45.8282796948095</v>
      </c>
      <c r="G23" s="13">
        <v>13</v>
      </c>
      <c r="H23" s="13">
        <v>0</v>
      </c>
      <c r="I23" s="13">
        <v>2</v>
      </c>
      <c r="J23" s="13">
        <v>0.970119521912351</v>
      </c>
      <c r="K23" s="13">
        <v>0.0258964143426294</v>
      </c>
      <c r="L23" s="13">
        <v>0.0039840637450199</v>
      </c>
    </row>
    <row r="24" spans="1:12">
      <c r="A24" s="14" t="s">
        <v>24</v>
      </c>
      <c r="B24" s="14" t="s">
        <v>15</v>
      </c>
      <c r="C24" s="14" t="s">
        <v>16</v>
      </c>
      <c r="D24" s="14">
        <v>3357</v>
      </c>
      <c r="E24" s="14">
        <v>3250</v>
      </c>
      <c r="F24" s="14">
        <v>77.256677729</v>
      </c>
      <c r="G24" s="14">
        <v>102</v>
      </c>
      <c r="H24" s="14">
        <v>0</v>
      </c>
      <c r="I24" s="14">
        <v>0</v>
      </c>
      <c r="J24" s="14">
        <v>0.968126303246947</v>
      </c>
      <c r="K24" s="14">
        <v>0.0303842716711349</v>
      </c>
      <c r="L24" s="14">
        <v>0</v>
      </c>
    </row>
    <row r="25" spans="1:12">
      <c r="A25" s="13" t="s">
        <v>24</v>
      </c>
      <c r="B25" s="13" t="s">
        <v>17</v>
      </c>
      <c r="C25" s="13" t="s">
        <v>16</v>
      </c>
      <c r="D25" s="13">
        <v>3330</v>
      </c>
      <c r="E25" s="13">
        <v>3236</v>
      </c>
      <c r="F25" s="13">
        <v>76.0684109555836</v>
      </c>
      <c r="G25" s="13">
        <v>99</v>
      </c>
      <c r="H25" s="13">
        <v>0</v>
      </c>
      <c r="I25" s="13">
        <v>0</v>
      </c>
      <c r="J25" s="13">
        <v>0.970314842578711</v>
      </c>
      <c r="K25" s="13">
        <v>0.0296851574212893</v>
      </c>
      <c r="L25" s="13">
        <v>0</v>
      </c>
    </row>
    <row r="26" spans="1:12">
      <c r="A26" s="14" t="s">
        <v>24</v>
      </c>
      <c r="B26" s="14" t="s">
        <v>18</v>
      </c>
      <c r="C26" s="14" t="s">
        <v>16</v>
      </c>
      <c r="D26" s="14">
        <v>3468</v>
      </c>
      <c r="E26" s="14">
        <v>3404</v>
      </c>
      <c r="F26" s="14">
        <v>88.95413609</v>
      </c>
      <c r="G26" s="14">
        <v>26</v>
      </c>
      <c r="H26" s="14">
        <v>0</v>
      </c>
      <c r="I26" s="14">
        <v>38</v>
      </c>
      <c r="J26" s="14">
        <v>0.981545559400231</v>
      </c>
      <c r="K26" s="14">
        <v>0.0074971164936562</v>
      </c>
      <c r="L26" s="14">
        <v>0.010957324106113</v>
      </c>
    </row>
    <row r="27" spans="1:12">
      <c r="A27" s="13" t="s">
        <v>24</v>
      </c>
      <c r="B27" s="13" t="s">
        <v>19</v>
      </c>
      <c r="C27" s="13" t="s">
        <v>16</v>
      </c>
      <c r="D27" s="13">
        <v>5014</v>
      </c>
      <c r="E27" s="13">
        <v>4978</v>
      </c>
      <c r="F27" s="13">
        <v>170.43014094125</v>
      </c>
      <c r="G27" s="13">
        <v>11</v>
      </c>
      <c r="H27" s="13">
        <v>0</v>
      </c>
      <c r="I27" s="13">
        <v>63</v>
      </c>
      <c r="J27" s="13">
        <v>0.98535233570863</v>
      </c>
      <c r="K27" s="13">
        <v>0.0021773555027711</v>
      </c>
      <c r="L27" s="13">
        <v>0.0124703087885985</v>
      </c>
    </row>
    <row r="28" spans="1:12">
      <c r="A28" s="14" t="s">
        <v>25</v>
      </c>
      <c r="B28" s="14" t="s">
        <v>15</v>
      </c>
      <c r="C28" s="14" t="s">
        <v>16</v>
      </c>
      <c r="D28" s="14">
        <v>1274</v>
      </c>
      <c r="E28" s="14">
        <v>1202</v>
      </c>
      <c r="F28" s="14">
        <v>34.176781467</v>
      </c>
      <c r="G28" s="14">
        <v>69</v>
      </c>
      <c r="H28" s="14">
        <v>1</v>
      </c>
      <c r="I28" s="14">
        <v>8</v>
      </c>
      <c r="J28" s="14">
        <v>0.931061192873741</v>
      </c>
      <c r="K28" s="14">
        <v>0.0542215336948102</v>
      </c>
      <c r="L28" s="14">
        <v>0.0061967467079783</v>
      </c>
    </row>
    <row r="29" spans="1:12">
      <c r="A29" s="13" t="s">
        <v>25</v>
      </c>
      <c r="B29" s="13" t="s">
        <v>17</v>
      </c>
      <c r="C29" s="13" t="s">
        <v>16</v>
      </c>
      <c r="D29" s="13">
        <v>1138</v>
      </c>
      <c r="E29" s="13">
        <v>1101</v>
      </c>
      <c r="F29" s="13">
        <v>35.173393763</v>
      </c>
      <c r="G29" s="13">
        <v>48</v>
      </c>
      <c r="H29" s="13">
        <v>0</v>
      </c>
      <c r="I29" s="13">
        <v>8</v>
      </c>
      <c r="J29" s="13">
        <v>0.951598962834918</v>
      </c>
      <c r="K29" s="13">
        <v>0.041486603284356</v>
      </c>
      <c r="L29" s="13">
        <v>0.006914433880726</v>
      </c>
    </row>
    <row r="30" spans="1:12">
      <c r="A30" s="14" t="s">
        <v>25</v>
      </c>
      <c r="B30" s="14" t="s">
        <v>18</v>
      </c>
      <c r="C30" s="14" t="s">
        <v>16</v>
      </c>
      <c r="D30" s="14">
        <v>1135</v>
      </c>
      <c r="E30" s="14">
        <v>1089</v>
      </c>
      <c r="F30" s="14">
        <v>44.8968570360001</v>
      </c>
      <c r="G30" s="14">
        <v>51</v>
      </c>
      <c r="H30" s="14">
        <v>0</v>
      </c>
      <c r="I30" s="14">
        <v>3</v>
      </c>
      <c r="J30" s="14">
        <v>0.952755905511811</v>
      </c>
      <c r="K30" s="14">
        <v>0.0446194225721784</v>
      </c>
      <c r="L30" s="14">
        <v>0.0026246719160104</v>
      </c>
    </row>
    <row r="31" spans="1:12">
      <c r="A31" s="13" t="s">
        <v>25</v>
      </c>
      <c r="B31" s="13" t="s">
        <v>19</v>
      </c>
      <c r="C31" s="13" t="s">
        <v>16</v>
      </c>
      <c r="D31" s="13">
        <v>1223</v>
      </c>
      <c r="E31" s="13">
        <v>1163</v>
      </c>
      <c r="F31" s="13">
        <v>48.1105470290001</v>
      </c>
      <c r="G31" s="13">
        <v>55</v>
      </c>
      <c r="H31" s="13">
        <v>0</v>
      </c>
      <c r="I31" s="13">
        <v>8</v>
      </c>
      <c r="J31" s="13">
        <v>0.948613376835236</v>
      </c>
      <c r="K31" s="13">
        <v>0.0448613376835236</v>
      </c>
      <c r="L31" s="13">
        <v>0.0065252854812398</v>
      </c>
    </row>
    <row r="32" spans="1:12">
      <c r="A32" s="14" t="s">
        <v>26</v>
      </c>
      <c r="B32" s="14" t="s">
        <v>15</v>
      </c>
      <c r="C32" s="14" t="s">
        <v>16</v>
      </c>
      <c r="D32" s="14">
        <v>12507</v>
      </c>
      <c r="E32" s="14">
        <v>12289</v>
      </c>
      <c r="F32" s="14">
        <v>482.778566437346</v>
      </c>
      <c r="G32" s="14">
        <v>208</v>
      </c>
      <c r="H32" s="14">
        <v>0</v>
      </c>
      <c r="I32" s="14">
        <v>34</v>
      </c>
      <c r="J32" s="14">
        <v>0.97795639025943</v>
      </c>
      <c r="K32" s="14">
        <v>0.0165526022600668</v>
      </c>
      <c r="L32" s="14">
        <v>0.0027057138309724</v>
      </c>
    </row>
    <row r="33" spans="1:12">
      <c r="A33" s="13" t="s">
        <v>26</v>
      </c>
      <c r="B33" s="13" t="s">
        <v>17</v>
      </c>
      <c r="C33" s="13" t="s">
        <v>16</v>
      </c>
      <c r="D33" s="13">
        <v>12881</v>
      </c>
      <c r="E33" s="13">
        <v>12822</v>
      </c>
      <c r="F33" s="13">
        <v>577.295997927066</v>
      </c>
      <c r="G33" s="13">
        <v>67</v>
      </c>
      <c r="H33" s="13">
        <v>23</v>
      </c>
      <c r="I33" s="13">
        <v>34</v>
      </c>
      <c r="J33" s="13">
        <v>0.990421751892476</v>
      </c>
      <c r="K33" s="13">
        <v>0.0069519542715896</v>
      </c>
      <c r="L33" s="13">
        <v>0.0026262938359338</v>
      </c>
    </row>
    <row r="34" spans="1:12">
      <c r="A34" s="14" t="s">
        <v>26</v>
      </c>
      <c r="B34" s="14" t="s">
        <v>18</v>
      </c>
      <c r="C34" s="14" t="s">
        <v>16</v>
      </c>
      <c r="D34" s="14">
        <v>12592</v>
      </c>
      <c r="E34" s="14">
        <v>12509</v>
      </c>
      <c r="F34" s="14">
        <v>650.328856474001</v>
      </c>
      <c r="G34" s="14">
        <v>54</v>
      </c>
      <c r="H34" s="14">
        <v>15</v>
      </c>
      <c r="I34" s="14">
        <v>35</v>
      </c>
      <c r="J34" s="14">
        <v>0.990733407254871</v>
      </c>
      <c r="K34" s="14">
        <v>0.0054649136702043</v>
      </c>
      <c r="L34" s="14">
        <v>0.0027720576587993</v>
      </c>
    </row>
    <row r="35" spans="1:12">
      <c r="A35" s="13" t="s">
        <v>26</v>
      </c>
      <c r="B35" s="13" t="s">
        <v>19</v>
      </c>
      <c r="C35" s="13" t="s">
        <v>16</v>
      </c>
      <c r="D35" s="13">
        <v>16941</v>
      </c>
      <c r="E35" s="13">
        <v>16639</v>
      </c>
      <c r="F35" s="13">
        <v>1037.23295366043</v>
      </c>
      <c r="G35" s="13">
        <v>84</v>
      </c>
      <c r="H35" s="13">
        <v>58</v>
      </c>
      <c r="I35" s="13">
        <v>178</v>
      </c>
      <c r="J35" s="13">
        <v>0.980148444863336</v>
      </c>
      <c r="K35" s="13">
        <v>0.0083647502356267</v>
      </c>
      <c r="L35" s="13">
        <v>0.0104853911404335</v>
      </c>
    </row>
    <row r="36" spans="1:12">
      <c r="A36" s="14" t="s">
        <v>27</v>
      </c>
      <c r="B36" s="14" t="s">
        <v>15</v>
      </c>
      <c r="C36" s="14" t="s">
        <v>16</v>
      </c>
      <c r="D36" s="14">
        <v>11423</v>
      </c>
      <c r="E36" s="14">
        <v>11216</v>
      </c>
      <c r="F36" s="14">
        <v>715.110526399157</v>
      </c>
      <c r="G36" s="14">
        <v>203</v>
      </c>
      <c r="H36" s="14">
        <v>13</v>
      </c>
      <c r="I36" s="14">
        <v>21</v>
      </c>
      <c r="J36" s="14">
        <v>0.978793961078628</v>
      </c>
      <c r="K36" s="14">
        <v>0.0188498123745527</v>
      </c>
      <c r="L36" s="14">
        <v>0.0018326206475259</v>
      </c>
    </row>
    <row r="37" spans="1:12">
      <c r="A37" s="13" t="s">
        <v>27</v>
      </c>
      <c r="B37" s="13" t="s">
        <v>17</v>
      </c>
      <c r="C37" s="13" t="s">
        <v>16</v>
      </c>
      <c r="D37" s="13">
        <v>10799</v>
      </c>
      <c r="E37" s="13">
        <v>10672</v>
      </c>
      <c r="F37" s="13">
        <v>826.65892138078</v>
      </c>
      <c r="G37" s="13">
        <v>128</v>
      </c>
      <c r="H37" s="13">
        <v>0</v>
      </c>
      <c r="I37" s="13">
        <v>21</v>
      </c>
      <c r="J37" s="13">
        <v>0.985774986144467</v>
      </c>
      <c r="K37" s="13">
        <v>0.0118233881396637</v>
      </c>
      <c r="L37" s="13">
        <v>0.0019397746166635</v>
      </c>
    </row>
    <row r="38" spans="1:12">
      <c r="A38" s="14" t="s">
        <v>27</v>
      </c>
      <c r="B38" s="14" t="s">
        <v>18</v>
      </c>
      <c r="C38" s="14" t="s">
        <v>16</v>
      </c>
      <c r="D38" s="14">
        <v>11439</v>
      </c>
      <c r="E38" s="14">
        <v>11212</v>
      </c>
      <c r="F38" s="14">
        <v>1023.63598790763</v>
      </c>
      <c r="G38" s="14">
        <v>153</v>
      </c>
      <c r="H38" s="14">
        <v>0</v>
      </c>
      <c r="I38" s="14">
        <v>95</v>
      </c>
      <c r="J38" s="14">
        <v>0.978359511343804</v>
      </c>
      <c r="K38" s="14">
        <v>0.0133507853403141</v>
      </c>
      <c r="L38" s="14">
        <v>0.0082897033158813</v>
      </c>
    </row>
    <row r="39" spans="1:12">
      <c r="A39" s="13" t="s">
        <v>27</v>
      </c>
      <c r="B39" s="13" t="s">
        <v>19</v>
      </c>
      <c r="C39" s="13" t="s">
        <v>16</v>
      </c>
      <c r="D39" s="13">
        <v>14734</v>
      </c>
      <c r="E39" s="13">
        <v>14518</v>
      </c>
      <c r="F39" s="13">
        <v>1504.64361798448</v>
      </c>
      <c r="G39" s="13">
        <v>289</v>
      </c>
      <c r="H39" s="13">
        <v>0</v>
      </c>
      <c r="I39" s="13">
        <v>16</v>
      </c>
      <c r="J39" s="13">
        <v>0.979027581091105</v>
      </c>
      <c r="K39" s="13">
        <v>0.0194888394362398</v>
      </c>
      <c r="L39" s="13">
        <v>0.0010789668892035</v>
      </c>
    </row>
    <row r="40" spans="1:12">
      <c r="A40" s="14" t="s">
        <v>28</v>
      </c>
      <c r="B40" s="14" t="s">
        <v>15</v>
      </c>
      <c r="C40" s="14" t="s">
        <v>16</v>
      </c>
      <c r="D40" s="14">
        <v>1781</v>
      </c>
      <c r="E40" s="14">
        <v>1626</v>
      </c>
      <c r="F40" s="14">
        <v>45.97</v>
      </c>
      <c r="G40" s="14">
        <v>181</v>
      </c>
      <c r="H40" s="14">
        <v>0</v>
      </c>
      <c r="I40" s="14">
        <v>9</v>
      </c>
      <c r="J40" s="14">
        <v>0.898342541436464</v>
      </c>
      <c r="K40" s="14">
        <v>0.1</v>
      </c>
      <c r="L40" s="14">
        <v>0.0049723756906077</v>
      </c>
    </row>
    <row r="41" spans="1:12">
      <c r="A41" s="13" t="s">
        <v>28</v>
      </c>
      <c r="B41" s="13" t="s">
        <v>17</v>
      </c>
      <c r="C41" s="13" t="s">
        <v>16</v>
      </c>
      <c r="D41" s="13">
        <v>2239</v>
      </c>
      <c r="E41" s="13">
        <v>2081</v>
      </c>
      <c r="F41" s="13">
        <v>74.9496178</v>
      </c>
      <c r="G41" s="13">
        <v>144</v>
      </c>
      <c r="H41" s="13">
        <v>8</v>
      </c>
      <c r="I41" s="13">
        <v>9</v>
      </c>
      <c r="J41" s="13">
        <v>0.928189116859946</v>
      </c>
      <c r="K41" s="13">
        <v>0.0677966101694915</v>
      </c>
      <c r="L41" s="13">
        <v>0.0040142729705619</v>
      </c>
    </row>
    <row r="42" spans="1:12">
      <c r="A42" s="14" t="s">
        <v>28</v>
      </c>
      <c r="B42" s="14" t="s">
        <v>18</v>
      </c>
      <c r="C42" s="14" t="s">
        <v>16</v>
      </c>
      <c r="D42" s="14">
        <v>2232</v>
      </c>
      <c r="E42" s="14">
        <v>2166</v>
      </c>
      <c r="F42" s="14">
        <v>70.170688354</v>
      </c>
      <c r="G42" s="14">
        <v>66</v>
      </c>
      <c r="H42" s="14">
        <v>0</v>
      </c>
      <c r="I42" s="14">
        <v>9</v>
      </c>
      <c r="J42" s="14">
        <v>0.966532797858099</v>
      </c>
      <c r="K42" s="14">
        <v>0.0294511378848728</v>
      </c>
      <c r="L42" s="14">
        <v>0.0040160642570281</v>
      </c>
    </row>
    <row r="43" spans="1:12">
      <c r="A43" s="13" t="s">
        <v>28</v>
      </c>
      <c r="B43" s="13" t="s">
        <v>19</v>
      </c>
      <c r="C43" s="13" t="s">
        <v>16</v>
      </c>
      <c r="D43" s="13">
        <v>2972</v>
      </c>
      <c r="E43" s="13">
        <v>2886</v>
      </c>
      <c r="F43" s="13">
        <v>109.640756124</v>
      </c>
      <c r="G43" s="13">
        <v>80</v>
      </c>
      <c r="H43" s="13">
        <v>0</v>
      </c>
      <c r="I43" s="13">
        <v>15</v>
      </c>
      <c r="J43" s="13">
        <v>0.968131499496813</v>
      </c>
      <c r="K43" s="13">
        <v>0.0268366320026836</v>
      </c>
      <c r="L43" s="13">
        <v>0.0050318685005031</v>
      </c>
    </row>
    <row r="44" spans="1:12">
      <c r="A44" s="14" t="s">
        <v>29</v>
      </c>
      <c r="B44" s="14" t="s">
        <v>15</v>
      </c>
      <c r="C44" s="14" t="s">
        <v>16</v>
      </c>
      <c r="D44" s="14">
        <v>3055</v>
      </c>
      <c r="E44" s="14">
        <v>2881</v>
      </c>
      <c r="F44" s="14">
        <v>119.497377830109</v>
      </c>
      <c r="G44" s="14">
        <v>175</v>
      </c>
      <c r="H44" s="14">
        <v>0</v>
      </c>
      <c r="I44" s="14">
        <v>12</v>
      </c>
      <c r="J44" s="14">
        <v>0.937215354586858</v>
      </c>
      <c r="K44" s="14">
        <v>0.056929082628497</v>
      </c>
      <c r="L44" s="14">
        <v>0.0039037085230969</v>
      </c>
    </row>
    <row r="45" spans="1:12">
      <c r="A45" s="13" t="s">
        <v>29</v>
      </c>
      <c r="B45" s="13" t="s">
        <v>17</v>
      </c>
      <c r="C45" s="13" t="s">
        <v>16</v>
      </c>
      <c r="D45" s="13">
        <v>3020</v>
      </c>
      <c r="E45" s="13">
        <v>2959</v>
      </c>
      <c r="F45" s="13">
        <v>136.768342254</v>
      </c>
      <c r="G45" s="13">
        <v>67</v>
      </c>
      <c r="H45" s="13">
        <v>0</v>
      </c>
      <c r="I45" s="13">
        <v>12</v>
      </c>
      <c r="J45" s="13">
        <v>0.973996050032916</v>
      </c>
      <c r="K45" s="13">
        <v>0.0220539828834759</v>
      </c>
      <c r="L45" s="13">
        <v>0.0039499670836076</v>
      </c>
    </row>
    <row r="46" spans="1:12">
      <c r="A46" s="14" t="s">
        <v>29</v>
      </c>
      <c r="B46" s="14" t="s">
        <v>18</v>
      </c>
      <c r="C46" s="14" t="s">
        <v>16</v>
      </c>
      <c r="D46" s="14">
        <v>3334</v>
      </c>
      <c r="E46" s="14">
        <v>3225</v>
      </c>
      <c r="F46" s="14">
        <v>170.142147141999</v>
      </c>
      <c r="G46" s="14">
        <v>112</v>
      </c>
      <c r="H46" s="14">
        <v>0</v>
      </c>
      <c r="I46" s="14">
        <v>9</v>
      </c>
      <c r="J46" s="14">
        <v>0.963837417812313</v>
      </c>
      <c r="K46" s="14">
        <v>0.0334728033472803</v>
      </c>
      <c r="L46" s="14">
        <v>0.0026897788404064</v>
      </c>
    </row>
    <row r="47" spans="1:12">
      <c r="A47" s="13" t="s">
        <v>29</v>
      </c>
      <c r="B47" s="13" t="s">
        <v>19</v>
      </c>
      <c r="C47" s="13" t="s">
        <v>16</v>
      </c>
      <c r="D47" s="13">
        <v>4393</v>
      </c>
      <c r="E47" s="13">
        <v>4336</v>
      </c>
      <c r="F47" s="13">
        <v>299.915040107999</v>
      </c>
      <c r="G47" s="13">
        <v>50</v>
      </c>
      <c r="H47" s="13">
        <v>0</v>
      </c>
      <c r="I47" s="13">
        <v>16</v>
      </c>
      <c r="J47" s="13">
        <v>0.985006815084053</v>
      </c>
      <c r="K47" s="13">
        <v>0.0113584734211721</v>
      </c>
      <c r="L47" s="13">
        <v>0.0036347114947751</v>
      </c>
    </row>
    <row r="48" spans="1:12">
      <c r="A48" s="14" t="s">
        <v>30</v>
      </c>
      <c r="B48" s="14" t="s">
        <v>15</v>
      </c>
      <c r="C48" s="14" t="s">
        <v>16</v>
      </c>
      <c r="D48" s="14">
        <v>10329</v>
      </c>
      <c r="E48" s="14">
        <v>10152</v>
      </c>
      <c r="F48" s="14">
        <v>353.393597209636</v>
      </c>
      <c r="G48" s="14">
        <v>178</v>
      </c>
      <c r="H48" s="14">
        <v>0</v>
      </c>
      <c r="I48" s="14">
        <v>3</v>
      </c>
      <c r="J48" s="14">
        <v>0.982578397212544</v>
      </c>
      <c r="K48" s="14">
        <v>0.0172280294231513</v>
      </c>
      <c r="L48" s="14">
        <v>0.0002903600464576</v>
      </c>
    </row>
    <row r="49" spans="1:12">
      <c r="A49" s="13" t="s">
        <v>30</v>
      </c>
      <c r="B49" s="13" t="s">
        <v>17</v>
      </c>
      <c r="C49" s="13" t="s">
        <v>16</v>
      </c>
      <c r="D49" s="13">
        <v>15085</v>
      </c>
      <c r="E49" s="13">
        <v>14897</v>
      </c>
      <c r="F49" s="13">
        <v>452.248133545</v>
      </c>
      <c r="G49" s="13">
        <v>187</v>
      </c>
      <c r="H49" s="13">
        <v>0</v>
      </c>
      <c r="I49" s="13">
        <v>3</v>
      </c>
      <c r="J49" s="13">
        <v>0.9874063763505</v>
      </c>
      <c r="K49" s="13">
        <v>0.0123947769602969</v>
      </c>
      <c r="L49" s="13">
        <v>0.0001988466892026</v>
      </c>
    </row>
    <row r="50" spans="1:12">
      <c r="A50" s="14" t="s">
        <v>30</v>
      </c>
      <c r="B50" s="14" t="s">
        <v>18</v>
      </c>
      <c r="C50" s="14" t="s">
        <v>16</v>
      </c>
      <c r="D50" s="14">
        <v>15460</v>
      </c>
      <c r="E50" s="14">
        <v>15342</v>
      </c>
      <c r="F50" s="14">
        <v>562.536831196</v>
      </c>
      <c r="G50" s="14">
        <v>120</v>
      </c>
      <c r="H50" s="14">
        <v>0</v>
      </c>
      <c r="I50" s="14">
        <v>1</v>
      </c>
      <c r="J50" s="14">
        <v>0.99217486904223</v>
      </c>
      <c r="K50" s="14">
        <v>0.0077604604539869</v>
      </c>
      <c r="L50" s="14">
        <v>6.46705037832245e-5</v>
      </c>
    </row>
    <row r="51" spans="1:12">
      <c r="A51" s="13" t="s">
        <v>30</v>
      </c>
      <c r="B51" s="13" t="s">
        <v>19</v>
      </c>
      <c r="C51" s="13" t="s">
        <v>16</v>
      </c>
      <c r="D51" s="13">
        <v>20051</v>
      </c>
      <c r="E51" s="13">
        <v>19922</v>
      </c>
      <c r="F51" s="13">
        <v>885.572273772001</v>
      </c>
      <c r="G51" s="13">
        <v>129</v>
      </c>
      <c r="H51" s="13">
        <v>0</v>
      </c>
      <c r="I51" s="13">
        <v>1</v>
      </c>
      <c r="J51" s="13">
        <v>0.993516856173948</v>
      </c>
      <c r="K51" s="13">
        <v>0.0064332734889287</v>
      </c>
      <c r="L51" s="13">
        <v>4.9870337123479e-5</v>
      </c>
    </row>
    <row r="52" spans="1:12">
      <c r="A52" s="14" t="s">
        <v>31</v>
      </c>
      <c r="B52" s="14" t="s">
        <v>15</v>
      </c>
      <c r="C52" s="14" t="s">
        <v>16</v>
      </c>
      <c r="D52" s="14">
        <v>3981</v>
      </c>
      <c r="E52" s="14">
        <v>3726</v>
      </c>
      <c r="F52" s="14">
        <v>179.602009579</v>
      </c>
      <c r="G52" s="14">
        <v>329</v>
      </c>
      <c r="H52" s="14">
        <v>26</v>
      </c>
      <c r="I52" s="14">
        <v>0</v>
      </c>
      <c r="J52" s="14">
        <v>0.911225238444608</v>
      </c>
      <c r="K52" s="14">
        <v>0.0868182929811689</v>
      </c>
      <c r="L52" s="14">
        <v>0</v>
      </c>
    </row>
    <row r="53" spans="1:12">
      <c r="A53" s="13" t="s">
        <v>31</v>
      </c>
      <c r="B53" s="13" t="s">
        <v>17</v>
      </c>
      <c r="C53" s="13" t="s">
        <v>16</v>
      </c>
      <c r="D53" s="13">
        <v>4162</v>
      </c>
      <c r="E53" s="13">
        <v>4012</v>
      </c>
      <c r="F53" s="13">
        <v>203.945343713</v>
      </c>
      <c r="G53" s="13">
        <v>157</v>
      </c>
      <c r="H53" s="13">
        <v>0</v>
      </c>
      <c r="I53" s="13">
        <v>0</v>
      </c>
      <c r="J53" s="13">
        <v>0.9621103117506</v>
      </c>
      <c r="K53" s="13">
        <v>0.0376498800959232</v>
      </c>
      <c r="L53" s="13">
        <v>0</v>
      </c>
    </row>
    <row r="54" spans="1:12">
      <c r="A54" s="14" t="s">
        <v>31</v>
      </c>
      <c r="B54" s="14" t="s">
        <v>18</v>
      </c>
      <c r="C54" s="14" t="s">
        <v>16</v>
      </c>
      <c r="D54" s="14">
        <v>4364</v>
      </c>
      <c r="E54" s="14">
        <v>4241</v>
      </c>
      <c r="F54" s="14">
        <v>235.110052133</v>
      </c>
      <c r="G54" s="14">
        <v>123</v>
      </c>
      <c r="H54" s="14">
        <v>0</v>
      </c>
      <c r="I54" s="14">
        <v>0</v>
      </c>
      <c r="J54" s="14">
        <v>0.971814848762603</v>
      </c>
      <c r="K54" s="14">
        <v>0.0281851512373968</v>
      </c>
      <c r="L54" s="14">
        <v>0</v>
      </c>
    </row>
    <row r="55" spans="1:12">
      <c r="A55" s="13" t="s">
        <v>31</v>
      </c>
      <c r="B55" s="13" t="s">
        <v>19</v>
      </c>
      <c r="C55" s="13" t="s">
        <v>16</v>
      </c>
      <c r="D55" s="13">
        <v>5315</v>
      </c>
      <c r="E55" s="13">
        <v>5218</v>
      </c>
      <c r="F55" s="13">
        <v>331.703223356</v>
      </c>
      <c r="G55" s="13">
        <v>97</v>
      </c>
      <c r="H55" s="13">
        <v>0</v>
      </c>
      <c r="I55" s="13">
        <v>0</v>
      </c>
      <c r="J55" s="13">
        <v>0.981749764816557</v>
      </c>
      <c r="K55" s="13">
        <v>0.018250235183443</v>
      </c>
      <c r="L55" s="13">
        <v>0</v>
      </c>
    </row>
    <row r="56" spans="1:12">
      <c r="A56" s="14" t="s">
        <v>32</v>
      </c>
      <c r="B56" s="14" t="s">
        <v>15</v>
      </c>
      <c r="C56" s="14" t="s">
        <v>16</v>
      </c>
      <c r="D56" s="14">
        <v>586</v>
      </c>
      <c r="E56" s="14">
        <v>572</v>
      </c>
      <c r="F56" s="14">
        <v>23.508783779</v>
      </c>
      <c r="G56" s="14">
        <v>13</v>
      </c>
      <c r="H56" s="14">
        <v>0</v>
      </c>
      <c r="I56" s="14">
        <v>2</v>
      </c>
      <c r="J56" s="14">
        <v>0.966216216216216</v>
      </c>
      <c r="K56" s="14">
        <v>0.0219594594594594</v>
      </c>
      <c r="L56" s="14">
        <v>0.0033783783783783</v>
      </c>
    </row>
    <row r="57" spans="1:12">
      <c r="A57" s="13" t="s">
        <v>32</v>
      </c>
      <c r="B57" s="13" t="s">
        <v>17</v>
      </c>
      <c r="C57" s="13" t="s">
        <v>16</v>
      </c>
      <c r="D57" s="13">
        <v>649</v>
      </c>
      <c r="E57" s="13">
        <v>635</v>
      </c>
      <c r="F57" s="13">
        <v>26.16</v>
      </c>
      <c r="G57" s="13">
        <v>19</v>
      </c>
      <c r="H57" s="13">
        <v>0</v>
      </c>
      <c r="I57" s="13">
        <v>2</v>
      </c>
      <c r="J57" s="13">
        <v>0.967987804878049</v>
      </c>
      <c r="K57" s="13">
        <v>0.0289634146341463</v>
      </c>
      <c r="L57" s="13">
        <v>0.0030487804878048</v>
      </c>
    </row>
    <row r="58" spans="1:12">
      <c r="A58" s="14" t="s">
        <v>32</v>
      </c>
      <c r="B58" s="14" t="s">
        <v>18</v>
      </c>
      <c r="C58" s="14" t="s">
        <v>16</v>
      </c>
      <c r="D58" s="14">
        <v>569</v>
      </c>
      <c r="E58" s="14">
        <v>560</v>
      </c>
      <c r="F58" s="14">
        <v>22.444056904</v>
      </c>
      <c r="G58" s="14">
        <v>7</v>
      </c>
      <c r="H58" s="14">
        <v>0</v>
      </c>
      <c r="I58" s="14">
        <v>2</v>
      </c>
      <c r="J58" s="14">
        <v>0.984182776801406</v>
      </c>
      <c r="K58" s="14">
        <v>0.0123022847100175</v>
      </c>
      <c r="L58" s="14">
        <v>0.0035149384885764</v>
      </c>
    </row>
    <row r="59" spans="1:12">
      <c r="A59" s="13" t="s">
        <v>32</v>
      </c>
      <c r="B59" s="13" t="s">
        <v>19</v>
      </c>
      <c r="C59" s="13" t="s">
        <v>16</v>
      </c>
      <c r="D59" s="13">
        <v>645</v>
      </c>
      <c r="E59" s="13">
        <v>638</v>
      </c>
      <c r="F59" s="13">
        <v>28.625236416</v>
      </c>
      <c r="G59" s="13">
        <v>8</v>
      </c>
      <c r="H59" s="13">
        <v>0</v>
      </c>
      <c r="I59" s="13">
        <v>1</v>
      </c>
      <c r="J59" s="13">
        <v>0.986089644513138</v>
      </c>
      <c r="K59" s="13">
        <v>0.0123647604327666</v>
      </c>
      <c r="L59" s="13">
        <v>0.0015455950540958</v>
      </c>
    </row>
    <row r="60" spans="1:12">
      <c r="A60" s="14" t="s">
        <v>33</v>
      </c>
      <c r="B60" s="14" t="s">
        <v>15</v>
      </c>
      <c r="C60" s="14" t="s">
        <v>16</v>
      </c>
      <c r="D60" s="14">
        <v>8952</v>
      </c>
      <c r="E60" s="14">
        <v>8553</v>
      </c>
      <c r="F60" s="14">
        <v>149.536252989</v>
      </c>
      <c r="G60" s="14">
        <v>403</v>
      </c>
      <c r="H60" s="14">
        <v>27</v>
      </c>
      <c r="I60" s="14">
        <v>4</v>
      </c>
      <c r="J60" s="14">
        <v>0.951708022699455</v>
      </c>
      <c r="K60" s="14">
        <v>0.0478468899521531</v>
      </c>
      <c r="L60" s="14">
        <v>0.0004450873483921</v>
      </c>
    </row>
    <row r="61" spans="1:12">
      <c r="A61" s="13" t="s">
        <v>33</v>
      </c>
      <c r="B61" s="13" t="s">
        <v>17</v>
      </c>
      <c r="C61" s="13" t="s">
        <v>16</v>
      </c>
      <c r="D61" s="13">
        <v>8367</v>
      </c>
      <c r="E61" s="13">
        <v>8179</v>
      </c>
      <c r="F61" s="13">
        <v>154.467060108</v>
      </c>
      <c r="G61" s="13">
        <v>188</v>
      </c>
      <c r="H61" s="13">
        <v>0</v>
      </c>
      <c r="I61" s="13">
        <v>4</v>
      </c>
      <c r="J61" s="13">
        <v>0.977063672201649</v>
      </c>
      <c r="K61" s="13">
        <v>0.0224584876358857</v>
      </c>
      <c r="L61" s="13">
        <v>0.0004778401624656</v>
      </c>
    </row>
    <row r="62" spans="1:12">
      <c r="A62" s="14" t="s">
        <v>33</v>
      </c>
      <c r="B62" s="14" t="s">
        <v>18</v>
      </c>
      <c r="C62" s="14" t="s">
        <v>16</v>
      </c>
      <c r="D62" s="14">
        <v>8013</v>
      </c>
      <c r="E62" s="14">
        <v>7866</v>
      </c>
      <c r="F62" s="14">
        <v>157.031953927</v>
      </c>
      <c r="G62" s="14">
        <v>149</v>
      </c>
      <c r="H62" s="14">
        <v>0</v>
      </c>
      <c r="I62" s="14">
        <v>2</v>
      </c>
      <c r="J62" s="14">
        <v>0.981165024323313</v>
      </c>
      <c r="K62" s="14">
        <v>0.0185855058001746</v>
      </c>
      <c r="L62" s="14">
        <v>0.0002494698765124</v>
      </c>
    </row>
    <row r="63" spans="1:12">
      <c r="A63" s="13" t="s">
        <v>33</v>
      </c>
      <c r="B63" s="13" t="s">
        <v>19</v>
      </c>
      <c r="C63" s="13" t="s">
        <v>16</v>
      </c>
      <c r="D63" s="13">
        <v>9414</v>
      </c>
      <c r="E63" s="13">
        <v>9274</v>
      </c>
      <c r="F63" s="13">
        <v>205.261737213</v>
      </c>
      <c r="G63" s="13">
        <v>138</v>
      </c>
      <c r="H63" s="13">
        <v>0</v>
      </c>
      <c r="I63" s="13">
        <v>4</v>
      </c>
      <c r="J63" s="13">
        <v>0.984919286321155</v>
      </c>
      <c r="K63" s="13">
        <v>0.0146559048428207</v>
      </c>
      <c r="L63" s="13">
        <v>0.0004248088360237</v>
      </c>
    </row>
    <row r="64" spans="1:12">
      <c r="A64" s="14" t="s">
        <v>34</v>
      </c>
      <c r="B64" s="14" t="s">
        <v>15</v>
      </c>
      <c r="C64" s="14" t="s">
        <v>16</v>
      </c>
      <c r="D64" s="14">
        <v>646</v>
      </c>
      <c r="E64" s="14">
        <v>556</v>
      </c>
      <c r="F64" s="14">
        <v>5.405455313</v>
      </c>
      <c r="G64" s="14">
        <v>57</v>
      </c>
      <c r="H64" s="14">
        <v>0</v>
      </c>
      <c r="I64" s="14">
        <v>16</v>
      </c>
      <c r="J64" s="14">
        <v>0.860681114551084</v>
      </c>
      <c r="K64" s="14">
        <v>0</v>
      </c>
      <c r="L64" s="14">
        <v>0</v>
      </c>
    </row>
    <row r="65" spans="1:12">
      <c r="A65" s="13" t="s">
        <v>34</v>
      </c>
      <c r="B65" s="13" t="s">
        <v>17</v>
      </c>
      <c r="C65" s="13" t="s">
        <v>16</v>
      </c>
      <c r="D65" s="13">
        <v>622</v>
      </c>
      <c r="E65" s="13">
        <v>614</v>
      </c>
      <c r="F65" s="13">
        <v>5.171924929</v>
      </c>
      <c r="G65" s="13">
        <v>39</v>
      </c>
      <c r="H65" s="13">
        <v>12</v>
      </c>
      <c r="I65" s="13">
        <v>16</v>
      </c>
      <c r="J65" s="13">
        <v>0.987138263665595</v>
      </c>
      <c r="K65" s="13">
        <v>0</v>
      </c>
      <c r="L65" s="13">
        <v>0</v>
      </c>
    </row>
    <row r="66" spans="1:12">
      <c r="A66" s="14" t="s">
        <v>34</v>
      </c>
      <c r="B66" s="14" t="s">
        <v>18</v>
      </c>
      <c r="C66" s="14" t="s">
        <v>16</v>
      </c>
      <c r="D66" s="14">
        <v>638</v>
      </c>
      <c r="E66" s="14">
        <v>585</v>
      </c>
      <c r="F66" s="14">
        <v>5.444943747</v>
      </c>
      <c r="G66" s="14">
        <v>10</v>
      </c>
      <c r="H66" s="14">
        <v>13</v>
      </c>
      <c r="I66" s="14">
        <v>46</v>
      </c>
      <c r="J66" s="14">
        <v>0.91692789968652</v>
      </c>
      <c r="K66" s="14">
        <v>0</v>
      </c>
      <c r="L66" s="14">
        <v>0</v>
      </c>
    </row>
    <row r="67" spans="1:12">
      <c r="A67" s="13" t="s">
        <v>34</v>
      </c>
      <c r="B67" s="13" t="s">
        <v>19</v>
      </c>
      <c r="C67" s="13" t="s">
        <v>16</v>
      </c>
      <c r="D67" s="13">
        <v>839</v>
      </c>
      <c r="E67" s="13">
        <v>860</v>
      </c>
      <c r="F67" s="13">
        <v>9.022812241</v>
      </c>
      <c r="G67" s="13">
        <v>16</v>
      </c>
      <c r="H67" s="13">
        <v>7</v>
      </c>
      <c r="I67" s="13">
        <v>2</v>
      </c>
      <c r="J67" s="13">
        <v>1.02502979737783</v>
      </c>
      <c r="K67" s="13">
        <v>0</v>
      </c>
      <c r="L67" s="13">
        <v>0</v>
      </c>
    </row>
    <row r="68" spans="1:12">
      <c r="A68" s="14" t="s">
        <v>35</v>
      </c>
      <c r="B68" s="14" t="s">
        <v>15</v>
      </c>
      <c r="C68" s="14" t="s">
        <v>16</v>
      </c>
      <c r="D68" s="14">
        <v>1222</v>
      </c>
      <c r="E68" s="14">
        <v>1145</v>
      </c>
      <c r="F68" s="14">
        <v>43.420676013</v>
      </c>
      <c r="G68" s="14">
        <v>81</v>
      </c>
      <c r="H68" s="14">
        <v>3</v>
      </c>
      <c r="I68" s="14">
        <v>5</v>
      </c>
      <c r="J68" s="14">
        <v>0.922643029814666</v>
      </c>
      <c r="K68" s="14">
        <v>0.0676873489121676</v>
      </c>
      <c r="L68" s="14">
        <v>0.0040290088638195</v>
      </c>
    </row>
    <row r="69" spans="1:12">
      <c r="A69" s="13" t="s">
        <v>35</v>
      </c>
      <c r="B69" s="13" t="s">
        <v>17</v>
      </c>
      <c r="C69" s="13" t="s">
        <v>16</v>
      </c>
      <c r="D69" s="13">
        <v>1246</v>
      </c>
      <c r="E69" s="13">
        <v>1217</v>
      </c>
      <c r="F69" s="13">
        <v>47.257513341</v>
      </c>
      <c r="G69" s="13">
        <v>35</v>
      </c>
      <c r="H69" s="13">
        <v>1</v>
      </c>
      <c r="I69" s="13">
        <v>5</v>
      </c>
      <c r="J69" s="13">
        <v>0.967408585055644</v>
      </c>
      <c r="K69" s="13">
        <v>0.0286168521462639</v>
      </c>
      <c r="L69" s="13">
        <v>0.0039745627980922</v>
      </c>
    </row>
    <row r="70" spans="1:12">
      <c r="A70" s="14" t="s">
        <v>35</v>
      </c>
      <c r="B70" s="14" t="s">
        <v>18</v>
      </c>
      <c r="C70" s="14" t="s">
        <v>16</v>
      </c>
      <c r="D70" s="14">
        <v>1243</v>
      </c>
      <c r="E70" s="14">
        <v>1210</v>
      </c>
      <c r="F70" s="14">
        <v>50.474073028</v>
      </c>
      <c r="G70" s="14">
        <v>35</v>
      </c>
      <c r="H70" s="14">
        <v>0</v>
      </c>
      <c r="I70" s="14">
        <v>3</v>
      </c>
      <c r="J70" s="14">
        <v>0.969551282051282</v>
      </c>
      <c r="K70" s="14">
        <v>0.0280448717948717</v>
      </c>
      <c r="L70" s="14">
        <v>0.0024038461538461</v>
      </c>
    </row>
    <row r="71" spans="1:12">
      <c r="A71" s="13" t="s">
        <v>35</v>
      </c>
      <c r="B71" s="13" t="s">
        <v>19</v>
      </c>
      <c r="C71" s="13" t="s">
        <v>16</v>
      </c>
      <c r="D71" s="13">
        <v>1632</v>
      </c>
      <c r="E71" s="13">
        <v>1569</v>
      </c>
      <c r="F71" s="13">
        <v>72.494127605</v>
      </c>
      <c r="G71" s="13">
        <v>58</v>
      </c>
      <c r="H71" s="13">
        <v>0</v>
      </c>
      <c r="I71" s="13">
        <v>8</v>
      </c>
      <c r="J71" s="13">
        <v>0.959633027522936</v>
      </c>
      <c r="K71" s="13">
        <v>0.0354740061162079</v>
      </c>
      <c r="L71" s="13">
        <v>0.0048929663608562</v>
      </c>
    </row>
    <row r="72" spans="1:12">
      <c r="A72" s="14" t="s">
        <v>36</v>
      </c>
      <c r="B72" s="14" t="s">
        <v>15</v>
      </c>
      <c r="C72" s="14" t="s">
        <v>16</v>
      </c>
      <c r="D72" s="14">
        <v>2850</v>
      </c>
      <c r="E72" s="14">
        <v>2793</v>
      </c>
      <c r="F72" s="14">
        <v>131.843542495</v>
      </c>
      <c r="G72" s="14">
        <v>57</v>
      </c>
      <c r="H72" s="14">
        <v>0</v>
      </c>
      <c r="I72" s="14">
        <v>0</v>
      </c>
      <c r="J72" s="14">
        <v>0.98</v>
      </c>
      <c r="K72" s="14">
        <v>0.02</v>
      </c>
      <c r="L72" s="14">
        <v>0</v>
      </c>
    </row>
    <row r="73" spans="1:12">
      <c r="A73" s="13" t="s">
        <v>36</v>
      </c>
      <c r="B73" s="13" t="s">
        <v>17</v>
      </c>
      <c r="C73" s="13" t="s">
        <v>16</v>
      </c>
      <c r="D73" s="13">
        <v>2700</v>
      </c>
      <c r="E73" s="13">
        <v>2675</v>
      </c>
      <c r="F73" s="13">
        <v>144.87</v>
      </c>
      <c r="G73" s="13">
        <v>25</v>
      </c>
      <c r="H73" s="13">
        <v>0</v>
      </c>
      <c r="I73" s="13">
        <v>0</v>
      </c>
      <c r="J73" s="13">
        <v>0.990740740740741</v>
      </c>
      <c r="K73" s="13">
        <v>0.0092592592592592</v>
      </c>
      <c r="L73" s="13">
        <v>0</v>
      </c>
    </row>
    <row r="74" spans="1:12">
      <c r="A74" s="14" t="s">
        <v>36</v>
      </c>
      <c r="B74" s="14" t="s">
        <v>18</v>
      </c>
      <c r="C74" s="14" t="s">
        <v>16</v>
      </c>
      <c r="D74" s="14">
        <v>2982</v>
      </c>
      <c r="E74" s="14">
        <v>2954</v>
      </c>
      <c r="F74" s="14">
        <v>222.47</v>
      </c>
      <c r="G74" s="14">
        <v>28</v>
      </c>
      <c r="H74" s="14">
        <v>0</v>
      </c>
      <c r="I74" s="14">
        <v>0</v>
      </c>
      <c r="J74" s="14">
        <v>0.990610328638498</v>
      </c>
      <c r="K74" s="14">
        <v>0.0093896713615023</v>
      </c>
      <c r="L74" s="14">
        <v>0</v>
      </c>
    </row>
    <row r="75" spans="1:12">
      <c r="A75" s="13" t="s">
        <v>36</v>
      </c>
      <c r="B75" s="13" t="s">
        <v>19</v>
      </c>
      <c r="C75" s="13" t="s">
        <v>16</v>
      </c>
      <c r="D75" s="13">
        <v>4648</v>
      </c>
      <c r="E75" s="13">
        <v>4556</v>
      </c>
      <c r="F75" s="13">
        <v>478.4</v>
      </c>
      <c r="G75" s="13">
        <v>90</v>
      </c>
      <c r="H75" s="13">
        <v>0</v>
      </c>
      <c r="I75" s="13">
        <v>2</v>
      </c>
      <c r="J75" s="13">
        <v>0.980206540447504</v>
      </c>
      <c r="K75" s="13">
        <v>0.0193631669535284</v>
      </c>
      <c r="L75" s="13">
        <v>0.0004302925989672</v>
      </c>
    </row>
    <row r="76" spans="1:12">
      <c r="A76" s="14" t="s">
        <v>36</v>
      </c>
      <c r="B76" s="14" t="s">
        <v>37</v>
      </c>
      <c r="C76" s="14" t="s">
        <v>16</v>
      </c>
      <c r="D76" s="14">
        <v>8067</v>
      </c>
      <c r="E76" s="14">
        <v>7950</v>
      </c>
      <c r="F76" s="14">
        <v>1518.17</v>
      </c>
      <c r="G76" s="14">
        <v>117</v>
      </c>
      <c r="H76" s="14">
        <v>0</v>
      </c>
      <c r="I76" s="14">
        <v>2</v>
      </c>
      <c r="J76" s="14">
        <v>0.985252199776924</v>
      </c>
      <c r="K76" s="14">
        <v>0.0144999380344528</v>
      </c>
      <c r="L76" s="14">
        <v>0.0002478621886231</v>
      </c>
    </row>
  </sheetData>
  <mergeCells count="2">
    <mergeCell ref="A1:L1"/>
    <mergeCell ref="A2:L2"/>
  </mergeCells>
  <conditionalFormatting sqref="J4:J76"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6"/>
  <sheetViews>
    <sheetView showGridLines="0" zoomScale="67" zoomScaleNormal="67" workbookViewId="0">
      <pane ySplit="2" topLeftCell="A3" activePane="bottomLeft" state="frozen"/>
      <selection/>
      <selection pane="bottomLeft" activeCell="D14" sqref="D14"/>
    </sheetView>
  </sheetViews>
  <sheetFormatPr defaultColWidth="9" defaultRowHeight="14.4"/>
  <cols>
    <col min="1" max="1" width="20" customWidth="1"/>
    <col min="2" max="2" width="10" customWidth="1"/>
    <col min="3" max="3" width="22" customWidth="1"/>
    <col min="4" max="4" width="16" customWidth="1"/>
    <col min="5" max="5" width="14" customWidth="1"/>
    <col min="6" max="6" width="20" customWidth="1"/>
    <col min="7" max="7" width="18" customWidth="1"/>
    <col min="8" max="8" width="16" customWidth="1"/>
    <col min="9" max="9" width="20" customWidth="1"/>
    <col min="10" max="11" width="16" customWidth="1"/>
    <col min="12" max="12" width="14" customWidth="1"/>
  </cols>
  <sheetData>
    <row r="1" ht="28" customHeight="1" spans="1:12">
      <c r="A1" s="17" t="s">
        <v>38</v>
      </c>
    </row>
    <row r="2" spans="1:12">
      <c r="A2" s="18" t="s">
        <v>39</v>
      </c>
    </row>
    <row r="3" spans="1:12">
      <c r="A3" s="19" t="s">
        <v>2</v>
      </c>
      <c r="B3" s="19" t="s">
        <v>3</v>
      </c>
      <c r="C3" s="19" t="s">
        <v>4</v>
      </c>
      <c r="D3" s="19" t="s">
        <v>5</v>
      </c>
      <c r="E3" s="19" t="s">
        <v>6</v>
      </c>
      <c r="F3" s="19" t="s">
        <v>7</v>
      </c>
      <c r="G3" s="19" t="s">
        <v>8</v>
      </c>
      <c r="H3" s="19" t="s">
        <v>9</v>
      </c>
      <c r="I3" s="19" t="s">
        <v>10</v>
      </c>
      <c r="J3" s="19" t="s">
        <v>11</v>
      </c>
      <c r="K3" s="19" t="s">
        <v>12</v>
      </c>
      <c r="L3" s="19" t="s">
        <v>13</v>
      </c>
    </row>
    <row r="4" spans="1:12">
      <c r="A4" s="14" t="s">
        <v>14</v>
      </c>
      <c r="B4" s="14" t="s">
        <v>15</v>
      </c>
      <c r="C4" s="14" t="s">
        <v>40</v>
      </c>
      <c r="D4" s="14">
        <v>4623</v>
      </c>
      <c r="E4" s="14">
        <v>4593</v>
      </c>
      <c r="F4" s="14">
        <v>190.425930417</v>
      </c>
      <c r="G4" s="14">
        <v>7</v>
      </c>
      <c r="H4" s="14">
        <v>0</v>
      </c>
      <c r="I4" s="14">
        <v>15</v>
      </c>
      <c r="J4" s="14">
        <v>0.993510707332901</v>
      </c>
      <c r="K4" s="14">
        <v>0.0015141682889898</v>
      </c>
      <c r="L4" s="14">
        <v>0.0032446463335496</v>
      </c>
    </row>
    <row r="5" spans="1:12">
      <c r="A5" s="13" t="s">
        <v>14</v>
      </c>
      <c r="B5" s="13" t="s">
        <v>17</v>
      </c>
      <c r="C5" s="13" t="s">
        <v>40</v>
      </c>
      <c r="D5" s="13">
        <v>8822</v>
      </c>
      <c r="E5" s="13">
        <v>8817</v>
      </c>
      <c r="F5" s="13">
        <v>204.281135764</v>
      </c>
      <c r="G5" s="13">
        <v>13</v>
      </c>
      <c r="H5" s="13">
        <v>0</v>
      </c>
      <c r="I5" s="13">
        <v>15</v>
      </c>
      <c r="J5" s="13">
        <v>0.996834369700396</v>
      </c>
      <c r="K5" s="13">
        <v>0.0014697569248162</v>
      </c>
      <c r="L5" s="13">
        <v>0.001695873374788</v>
      </c>
    </row>
    <row r="6" spans="1:12">
      <c r="A6" s="14" t="s">
        <v>14</v>
      </c>
      <c r="B6" s="14" t="s">
        <v>18</v>
      </c>
      <c r="C6" s="14" t="s">
        <v>40</v>
      </c>
      <c r="D6" s="14">
        <v>10524</v>
      </c>
      <c r="E6" s="14">
        <v>10519</v>
      </c>
      <c r="F6" s="14">
        <v>233.959562261</v>
      </c>
      <c r="G6" s="14">
        <v>15</v>
      </c>
      <c r="H6" s="14">
        <v>0</v>
      </c>
      <c r="I6" s="14">
        <v>5</v>
      </c>
      <c r="J6" s="14">
        <v>0.998102286744473</v>
      </c>
      <c r="K6" s="14">
        <v>0.0014232849416453</v>
      </c>
      <c r="L6" s="14">
        <v>0.0004744283138817</v>
      </c>
    </row>
    <row r="7" spans="1:12">
      <c r="A7" s="13" t="s">
        <v>14</v>
      </c>
      <c r="B7" s="13" t="s">
        <v>19</v>
      </c>
      <c r="C7" s="13" t="s">
        <v>40</v>
      </c>
      <c r="D7" s="13">
        <v>10796</v>
      </c>
      <c r="E7" s="13">
        <v>10767</v>
      </c>
      <c r="F7" s="13">
        <v>353.049297461</v>
      </c>
      <c r="G7" s="13">
        <v>27</v>
      </c>
      <c r="H7" s="13">
        <v>0</v>
      </c>
      <c r="I7" s="13">
        <v>7</v>
      </c>
      <c r="J7" s="13">
        <v>0.996852143320063</v>
      </c>
      <c r="K7" s="13">
        <v>0.00249976853995</v>
      </c>
      <c r="L7" s="13">
        <v>0.000648088139987</v>
      </c>
    </row>
    <row r="8" spans="1:12">
      <c r="A8" s="14" t="s">
        <v>20</v>
      </c>
      <c r="B8" s="14" t="s">
        <v>15</v>
      </c>
      <c r="C8" s="14" t="s">
        <v>40</v>
      </c>
      <c r="D8" s="14">
        <v>1297</v>
      </c>
      <c r="E8" s="14">
        <v>1290</v>
      </c>
      <c r="F8" s="14">
        <v>27.457686716</v>
      </c>
      <c r="G8" s="14">
        <v>8</v>
      </c>
      <c r="H8" s="14">
        <v>0</v>
      </c>
      <c r="I8" s="14">
        <v>0</v>
      </c>
      <c r="J8" s="14">
        <v>0.993836671802774</v>
      </c>
      <c r="K8" s="14">
        <v>0.0061633281972265</v>
      </c>
      <c r="L8" s="14">
        <v>0</v>
      </c>
    </row>
    <row r="9" spans="1:12">
      <c r="A9" s="13" t="s">
        <v>20</v>
      </c>
      <c r="B9" s="13" t="s">
        <v>17</v>
      </c>
      <c r="C9" s="13" t="s">
        <v>40</v>
      </c>
      <c r="D9" s="13">
        <v>1241</v>
      </c>
      <c r="E9" s="13">
        <v>1231</v>
      </c>
      <c r="F9" s="13">
        <v>22.192692516</v>
      </c>
      <c r="G9" s="13">
        <v>10</v>
      </c>
      <c r="H9" s="13">
        <v>0</v>
      </c>
      <c r="I9" s="13">
        <v>0</v>
      </c>
      <c r="J9" s="13">
        <v>0.991941982272361</v>
      </c>
      <c r="K9" s="13">
        <v>0.008058017727639</v>
      </c>
      <c r="L9" s="13">
        <v>0</v>
      </c>
    </row>
    <row r="10" spans="1:12">
      <c r="A10" s="14" t="s">
        <v>20</v>
      </c>
      <c r="B10" s="14" t="s">
        <v>18</v>
      </c>
      <c r="C10" s="14" t="s">
        <v>40</v>
      </c>
      <c r="D10" s="14">
        <v>969</v>
      </c>
      <c r="E10" s="14">
        <v>957</v>
      </c>
      <c r="F10" s="14">
        <v>13.669937615</v>
      </c>
      <c r="G10" s="14">
        <v>10</v>
      </c>
      <c r="H10" s="14">
        <v>0</v>
      </c>
      <c r="I10" s="14">
        <v>2</v>
      </c>
      <c r="J10" s="14">
        <v>0.987616099071207</v>
      </c>
      <c r="K10" s="14">
        <v>0.0103199174406604</v>
      </c>
      <c r="L10" s="14">
        <v>0.002063983488132</v>
      </c>
    </row>
    <row r="11" spans="1:12">
      <c r="A11" s="13" t="s">
        <v>20</v>
      </c>
      <c r="B11" s="13" t="s">
        <v>19</v>
      </c>
      <c r="C11" s="13" t="s">
        <v>40</v>
      </c>
      <c r="D11" s="13">
        <v>348</v>
      </c>
      <c r="E11" s="13">
        <v>308</v>
      </c>
      <c r="F11" s="13">
        <v>42.0965122721</v>
      </c>
      <c r="G11" s="13">
        <v>27</v>
      </c>
      <c r="H11" s="13">
        <v>0</v>
      </c>
      <c r="I11" s="13">
        <v>15</v>
      </c>
      <c r="J11" s="13">
        <v>0.88</v>
      </c>
      <c r="K11" s="13">
        <v>0.0771428571428571</v>
      </c>
      <c r="L11" s="13">
        <v>0.0428571428571428</v>
      </c>
    </row>
    <row r="12" spans="1:12">
      <c r="A12" s="14" t="s">
        <v>21</v>
      </c>
      <c r="B12" s="14" t="s">
        <v>15</v>
      </c>
      <c r="C12" s="14" t="s">
        <v>40</v>
      </c>
      <c r="D12" s="14">
        <v>198220</v>
      </c>
      <c r="E12" s="14">
        <v>197425</v>
      </c>
      <c r="F12" s="14">
        <v>771.896617457041</v>
      </c>
      <c r="G12" s="14">
        <v>330</v>
      </c>
      <c r="H12" s="14">
        <v>17</v>
      </c>
      <c r="I12" s="14">
        <v>172</v>
      </c>
      <c r="J12" s="14">
        <v>0.995989304812834</v>
      </c>
      <c r="K12" s="14">
        <v>0.0017505801634547</v>
      </c>
      <c r="L12" s="14">
        <v>0.0008677227323176</v>
      </c>
    </row>
    <row r="13" spans="1:12">
      <c r="A13" s="13" t="s">
        <v>21</v>
      </c>
      <c r="B13" s="13" t="s">
        <v>17</v>
      </c>
      <c r="C13" s="13" t="s">
        <v>40</v>
      </c>
      <c r="D13" s="13">
        <v>170885</v>
      </c>
      <c r="E13" s="13">
        <v>170800</v>
      </c>
      <c r="F13" s="13">
        <v>726.25862607002</v>
      </c>
      <c r="G13" s="13">
        <v>210</v>
      </c>
      <c r="H13" s="13">
        <v>147</v>
      </c>
      <c r="I13" s="13">
        <v>172</v>
      </c>
      <c r="J13" s="13">
        <v>0.996889099006029</v>
      </c>
      <c r="K13" s="13">
        <v>0.002083661641365</v>
      </c>
      <c r="L13" s="13">
        <v>0.0010038930036828</v>
      </c>
    </row>
    <row r="14" spans="1:12">
      <c r="A14" s="14" t="s">
        <v>21</v>
      </c>
      <c r="B14" s="14" t="s">
        <v>18</v>
      </c>
      <c r="C14" s="14" t="s">
        <v>40</v>
      </c>
      <c r="D14" s="14">
        <v>178064</v>
      </c>
      <c r="E14" s="14">
        <v>177914</v>
      </c>
      <c r="F14" s="14">
        <v>904.295547532923</v>
      </c>
      <c r="G14" s="14">
        <v>177</v>
      </c>
      <c r="H14" s="14">
        <v>8</v>
      </c>
      <c r="I14" s="14">
        <v>136</v>
      </c>
      <c r="J14" s="14">
        <v>0.99819340649476</v>
      </c>
      <c r="K14" s="14">
        <v>0.0010379496846877</v>
      </c>
      <c r="L14" s="14">
        <v>0.0007630332817163</v>
      </c>
    </row>
    <row r="15" spans="1:12">
      <c r="A15" s="13" t="s">
        <v>21</v>
      </c>
      <c r="B15" s="13" t="s">
        <v>19</v>
      </c>
      <c r="C15" s="13" t="s">
        <v>40</v>
      </c>
      <c r="D15" s="13">
        <v>156840</v>
      </c>
      <c r="E15" s="13">
        <v>156665</v>
      </c>
      <c r="F15" s="13">
        <v>967.103584617373</v>
      </c>
      <c r="G15" s="13">
        <v>226</v>
      </c>
      <c r="H15" s="13">
        <v>0</v>
      </c>
      <c r="I15" s="13">
        <v>85</v>
      </c>
      <c r="J15" s="13">
        <v>0.998018805422485</v>
      </c>
      <c r="K15" s="13">
        <v>0.001439710528998</v>
      </c>
      <c r="L15" s="13">
        <v>0.0005414840485169</v>
      </c>
    </row>
    <row r="16" spans="1:12">
      <c r="A16" s="14" t="s">
        <v>22</v>
      </c>
      <c r="B16" s="14" t="s">
        <v>15</v>
      </c>
      <c r="C16" s="14" t="s">
        <v>40</v>
      </c>
      <c r="D16" s="14">
        <v>937</v>
      </c>
      <c r="E16" s="14">
        <v>928</v>
      </c>
      <c r="F16" s="14">
        <v>22.70962718</v>
      </c>
      <c r="G16" s="14">
        <v>10</v>
      </c>
      <c r="H16" s="14">
        <v>0</v>
      </c>
      <c r="I16" s="14">
        <v>1</v>
      </c>
      <c r="J16" s="14">
        <v>0.989339019189765</v>
      </c>
      <c r="K16" s="14">
        <v>0.0106609808102345</v>
      </c>
      <c r="L16" s="14">
        <v>0.0010660980810234</v>
      </c>
    </row>
    <row r="17" spans="1:12">
      <c r="A17" s="13" t="s">
        <v>22</v>
      </c>
      <c r="B17" s="13" t="s">
        <v>17</v>
      </c>
      <c r="C17" s="13" t="s">
        <v>40</v>
      </c>
      <c r="D17" s="13">
        <v>2485</v>
      </c>
      <c r="E17" s="13">
        <v>2465</v>
      </c>
      <c r="F17" s="13">
        <v>59.663579182</v>
      </c>
      <c r="G17" s="13">
        <v>18</v>
      </c>
      <c r="H17" s="13">
        <v>1</v>
      </c>
      <c r="I17" s="13">
        <v>1</v>
      </c>
      <c r="J17" s="13">
        <v>0.991951710261569</v>
      </c>
      <c r="K17" s="13">
        <v>0.007645875251509</v>
      </c>
      <c r="L17" s="13">
        <v>0.0004024144869215</v>
      </c>
    </row>
    <row r="18" spans="1:12">
      <c r="A18" s="14" t="s">
        <v>22</v>
      </c>
      <c r="B18" s="14" t="s">
        <v>18</v>
      </c>
      <c r="C18" s="14" t="s">
        <v>40</v>
      </c>
      <c r="D18" s="14">
        <v>3723</v>
      </c>
      <c r="E18" s="14">
        <v>3701</v>
      </c>
      <c r="F18" s="14">
        <v>87.136580179</v>
      </c>
      <c r="G18" s="14">
        <v>22</v>
      </c>
      <c r="H18" s="14">
        <v>0</v>
      </c>
      <c r="I18" s="14">
        <v>1</v>
      </c>
      <c r="J18" s="14">
        <v>0.993823845327605</v>
      </c>
      <c r="K18" s="14">
        <v>0.005907626208378</v>
      </c>
      <c r="L18" s="14">
        <v>0.0002685284640171</v>
      </c>
    </row>
    <row r="19" spans="1:12">
      <c r="A19" s="13" t="s">
        <v>22</v>
      </c>
      <c r="B19" s="13" t="s">
        <v>19</v>
      </c>
      <c r="C19" s="13" t="s">
        <v>40</v>
      </c>
      <c r="D19" s="13">
        <v>5492</v>
      </c>
      <c r="E19" s="13">
        <v>5464</v>
      </c>
      <c r="F19" s="13">
        <v>151.351351157995</v>
      </c>
      <c r="G19" s="13">
        <v>28</v>
      </c>
      <c r="H19" s="13">
        <v>0</v>
      </c>
      <c r="I19" s="13">
        <v>1</v>
      </c>
      <c r="J19" s="13">
        <v>0.99472055343164</v>
      </c>
      <c r="K19" s="13">
        <v>0.0050973966866921</v>
      </c>
      <c r="L19" s="13">
        <v>0.0001820498816675</v>
      </c>
    </row>
    <row r="20" spans="1:12">
      <c r="A20" s="14" t="s">
        <v>23</v>
      </c>
      <c r="B20" s="14" t="s">
        <v>15</v>
      </c>
      <c r="C20" s="14" t="s">
        <v>40</v>
      </c>
      <c r="D20" s="14">
        <v>2068</v>
      </c>
      <c r="E20" s="14">
        <v>2068</v>
      </c>
      <c r="F20" s="14">
        <v>37.89</v>
      </c>
      <c r="G20" s="14">
        <v>0</v>
      </c>
      <c r="H20" s="14">
        <v>0</v>
      </c>
      <c r="I20" s="14">
        <v>0</v>
      </c>
      <c r="J20" s="14">
        <v>1</v>
      </c>
      <c r="K20" s="14">
        <v>0</v>
      </c>
      <c r="L20" s="14">
        <v>0</v>
      </c>
    </row>
    <row r="21" spans="1:12">
      <c r="A21" s="13" t="s">
        <v>23</v>
      </c>
      <c r="B21" s="13" t="s">
        <v>17</v>
      </c>
      <c r="C21" s="13" t="s">
        <v>40</v>
      </c>
      <c r="D21" s="13">
        <v>1021</v>
      </c>
      <c r="E21" s="13">
        <v>1011</v>
      </c>
      <c r="F21" s="13">
        <v>37.22</v>
      </c>
      <c r="G21" s="13">
        <v>10</v>
      </c>
      <c r="H21" s="13">
        <v>0</v>
      </c>
      <c r="I21" s="13">
        <v>0</v>
      </c>
      <c r="J21" s="13">
        <v>0.990205680705191</v>
      </c>
      <c r="K21" s="13">
        <v>0.009794319294809</v>
      </c>
      <c r="L21" s="13">
        <v>0</v>
      </c>
    </row>
    <row r="22" spans="1:12">
      <c r="A22" s="14" t="s">
        <v>23</v>
      </c>
      <c r="B22" s="14" t="s">
        <v>18</v>
      </c>
      <c r="C22" s="14" t="s">
        <v>40</v>
      </c>
      <c r="D22" s="14">
        <v>445</v>
      </c>
      <c r="E22" s="14">
        <v>420</v>
      </c>
      <c r="F22" s="14">
        <v>43.12</v>
      </c>
      <c r="G22" s="14">
        <v>25</v>
      </c>
      <c r="H22" s="14">
        <v>0</v>
      </c>
      <c r="I22" s="14">
        <v>0</v>
      </c>
      <c r="J22" s="14">
        <v>0.943820224719101</v>
      </c>
      <c r="K22" s="14">
        <v>0.0561797752808988</v>
      </c>
      <c r="L22" s="14">
        <v>0</v>
      </c>
    </row>
    <row r="23" spans="1:12">
      <c r="A23" s="13" t="s">
        <v>23</v>
      </c>
      <c r="B23" s="13" t="s">
        <v>19</v>
      </c>
      <c r="C23" s="13" t="s">
        <v>40</v>
      </c>
      <c r="D23" s="13">
        <v>1102</v>
      </c>
      <c r="E23" s="13">
        <v>1094</v>
      </c>
      <c r="F23" s="13">
        <v>54.180746418</v>
      </c>
      <c r="G23" s="13">
        <v>8</v>
      </c>
      <c r="H23" s="13">
        <v>0</v>
      </c>
      <c r="I23" s="13">
        <v>0</v>
      </c>
      <c r="J23" s="13">
        <v>0.992740471869328</v>
      </c>
      <c r="K23" s="13">
        <v>0.0072595281306715</v>
      </c>
      <c r="L23" s="13">
        <v>0</v>
      </c>
    </row>
    <row r="24" spans="1:12">
      <c r="A24" s="14" t="s">
        <v>24</v>
      </c>
      <c r="B24" s="14" t="s">
        <v>15</v>
      </c>
      <c r="C24" s="14" t="s">
        <v>40</v>
      </c>
      <c r="D24" s="14">
        <v>1585</v>
      </c>
      <c r="E24" s="14">
        <v>1585</v>
      </c>
      <c r="F24" s="14">
        <v>89.85218055</v>
      </c>
      <c r="G24" s="14">
        <v>0</v>
      </c>
      <c r="H24" s="14">
        <v>0</v>
      </c>
      <c r="I24" s="14">
        <v>0</v>
      </c>
      <c r="J24" s="14">
        <v>1</v>
      </c>
      <c r="K24" s="14">
        <v>0</v>
      </c>
      <c r="L24" s="14">
        <v>0</v>
      </c>
    </row>
    <row r="25" spans="1:12">
      <c r="A25" s="13" t="s">
        <v>24</v>
      </c>
      <c r="B25" s="13" t="s">
        <v>17</v>
      </c>
      <c r="C25" s="13" t="s">
        <v>40</v>
      </c>
      <c r="D25" s="13">
        <v>4174</v>
      </c>
      <c r="E25" s="13">
        <v>4173</v>
      </c>
      <c r="F25" s="13">
        <v>127.441219</v>
      </c>
      <c r="G25" s="13">
        <v>1</v>
      </c>
      <c r="H25" s="13">
        <v>0</v>
      </c>
      <c r="I25" s="13">
        <v>0</v>
      </c>
      <c r="J25" s="13">
        <v>0.999760421657882</v>
      </c>
      <c r="K25" s="13">
        <v>0.0002395783421178</v>
      </c>
      <c r="L25" s="13">
        <v>0</v>
      </c>
    </row>
    <row r="26" spans="1:12">
      <c r="A26" s="14" t="s">
        <v>24</v>
      </c>
      <c r="B26" s="14" t="s">
        <v>18</v>
      </c>
      <c r="C26" s="14" t="s">
        <v>40</v>
      </c>
      <c r="D26" s="14">
        <v>7980</v>
      </c>
      <c r="E26" s="14">
        <v>7980</v>
      </c>
      <c r="F26" s="14">
        <v>124.74926664</v>
      </c>
      <c r="G26" s="14">
        <v>0</v>
      </c>
      <c r="H26" s="14">
        <v>0</v>
      </c>
      <c r="I26" s="14">
        <v>0</v>
      </c>
      <c r="J26" s="14">
        <v>1</v>
      </c>
      <c r="K26" s="14">
        <v>0</v>
      </c>
      <c r="L26" s="14">
        <v>0</v>
      </c>
    </row>
    <row r="27" spans="1:12">
      <c r="A27" s="13" t="s">
        <v>24</v>
      </c>
      <c r="B27" s="13" t="s">
        <v>19</v>
      </c>
      <c r="C27" s="13" t="s">
        <v>40</v>
      </c>
      <c r="D27" s="13">
        <v>10864</v>
      </c>
      <c r="E27" s="13">
        <v>10864</v>
      </c>
      <c r="F27" s="13">
        <v>151.17</v>
      </c>
      <c r="G27" s="13">
        <v>0</v>
      </c>
      <c r="H27" s="13">
        <v>0</v>
      </c>
      <c r="I27" s="13">
        <v>0</v>
      </c>
      <c r="J27" s="13">
        <v>1</v>
      </c>
      <c r="K27" s="13">
        <v>0</v>
      </c>
      <c r="L27" s="13">
        <v>0</v>
      </c>
    </row>
    <row r="28" spans="1:12">
      <c r="A28" s="14" t="s">
        <v>25</v>
      </c>
      <c r="B28" s="14" t="s">
        <v>15</v>
      </c>
      <c r="C28" s="14" t="s">
        <v>40</v>
      </c>
      <c r="D28" s="14">
        <v>784</v>
      </c>
      <c r="E28" s="14">
        <v>767</v>
      </c>
      <c r="F28" s="14">
        <v>55.70672514</v>
      </c>
      <c r="G28" s="14">
        <v>48</v>
      </c>
      <c r="H28" s="14">
        <v>0</v>
      </c>
      <c r="I28" s="14">
        <v>5</v>
      </c>
      <c r="J28" s="14">
        <v>0.892898719441211</v>
      </c>
      <c r="K28" s="14">
        <v>0.0558789289871944</v>
      </c>
      <c r="L28" s="14">
        <v>0.0058207217694994</v>
      </c>
    </row>
    <row r="29" spans="1:12">
      <c r="A29" s="13" t="s">
        <v>25</v>
      </c>
      <c r="B29" s="13" t="s">
        <v>17</v>
      </c>
      <c r="C29" s="13" t="s">
        <v>40</v>
      </c>
      <c r="D29" s="13">
        <v>879</v>
      </c>
      <c r="E29" s="13">
        <v>871</v>
      </c>
      <c r="F29" s="13">
        <v>66.634726337</v>
      </c>
      <c r="G29" s="13">
        <v>39</v>
      </c>
      <c r="H29" s="13">
        <v>8</v>
      </c>
      <c r="I29" s="13">
        <v>5</v>
      </c>
      <c r="J29" s="13">
        <v>0.943661971830986</v>
      </c>
      <c r="K29" s="13">
        <v>0.0509209100758396</v>
      </c>
      <c r="L29" s="13">
        <v>0.0054171180931744</v>
      </c>
    </row>
    <row r="30" spans="1:12">
      <c r="A30" s="14" t="s">
        <v>25</v>
      </c>
      <c r="B30" s="14" t="s">
        <v>18</v>
      </c>
      <c r="C30" s="14" t="s">
        <v>40</v>
      </c>
      <c r="D30" s="14">
        <v>1496</v>
      </c>
      <c r="E30" s="14">
        <v>1438</v>
      </c>
      <c r="F30" s="14">
        <v>98.288128127</v>
      </c>
      <c r="G30" s="14">
        <v>59</v>
      </c>
      <c r="H30" s="14">
        <v>0</v>
      </c>
      <c r="I30" s="14">
        <v>4</v>
      </c>
      <c r="J30" s="14">
        <v>0.95802798134577</v>
      </c>
      <c r="K30" s="14">
        <v>0.039307128580946</v>
      </c>
      <c r="L30" s="14">
        <v>0.0026648900732844</v>
      </c>
    </row>
    <row r="31" spans="1:12">
      <c r="A31" s="13" t="s">
        <v>25</v>
      </c>
      <c r="B31" s="13" t="s">
        <v>19</v>
      </c>
      <c r="C31" s="13" t="s">
        <v>40</v>
      </c>
      <c r="D31" s="13">
        <v>1225</v>
      </c>
      <c r="E31" s="13">
        <v>1144</v>
      </c>
      <c r="F31" s="13">
        <v>123.3207803</v>
      </c>
      <c r="G31" s="13">
        <v>81</v>
      </c>
      <c r="H31" s="13">
        <v>0</v>
      </c>
      <c r="I31" s="13">
        <v>3</v>
      </c>
      <c r="J31" s="13">
        <v>0.930838079739626</v>
      </c>
      <c r="K31" s="13">
        <v>0.065907241659886</v>
      </c>
      <c r="L31" s="13">
        <v>0.0024410089503661</v>
      </c>
    </row>
    <row r="32" spans="1:12">
      <c r="A32" s="14" t="s">
        <v>26</v>
      </c>
      <c r="B32" s="14" t="s">
        <v>15</v>
      </c>
      <c r="C32" s="14" t="s">
        <v>40</v>
      </c>
      <c r="D32" s="14">
        <v>73481</v>
      </c>
      <c r="E32" s="14">
        <v>72946</v>
      </c>
      <c r="F32" s="14">
        <v>497.2106409</v>
      </c>
      <c r="G32" s="14">
        <v>214</v>
      </c>
      <c r="H32" s="14">
        <v>0</v>
      </c>
      <c r="I32" s="14">
        <v>524</v>
      </c>
      <c r="J32" s="14">
        <v>0.992719206325445</v>
      </c>
      <c r="K32" s="14">
        <v>0.0029123174698221</v>
      </c>
      <c r="L32" s="14">
        <v>0.0071310951130224</v>
      </c>
    </row>
    <row r="33" spans="1:12">
      <c r="A33" s="13" t="s">
        <v>26</v>
      </c>
      <c r="B33" s="13" t="s">
        <v>17</v>
      </c>
      <c r="C33" s="13" t="s">
        <v>40</v>
      </c>
      <c r="D33" s="13">
        <v>163196</v>
      </c>
      <c r="E33" s="13">
        <v>162383</v>
      </c>
      <c r="F33" s="13">
        <v>905.3393746</v>
      </c>
      <c r="G33" s="13">
        <v>610</v>
      </c>
      <c r="H33" s="13">
        <v>0</v>
      </c>
      <c r="I33" s="13">
        <v>524</v>
      </c>
      <c r="J33" s="13">
        <v>0.99306494125993</v>
      </c>
      <c r="K33" s="13">
        <v>0.0037304989695261</v>
      </c>
      <c r="L33" s="13">
        <v>0.0032045597705437</v>
      </c>
    </row>
    <row r="34" spans="1:12">
      <c r="A34" s="14" t="s">
        <v>26</v>
      </c>
      <c r="B34" s="14" t="s">
        <v>18</v>
      </c>
      <c r="C34" s="14" t="s">
        <v>40</v>
      </c>
      <c r="D34" s="14">
        <v>265649</v>
      </c>
      <c r="E34" s="14">
        <v>264621</v>
      </c>
      <c r="F34" s="14">
        <v>1512.415669848</v>
      </c>
      <c r="G34" s="14">
        <v>389</v>
      </c>
      <c r="H34" s="14">
        <v>0</v>
      </c>
      <c r="I34" s="14">
        <v>1163</v>
      </c>
      <c r="J34" s="14">
        <v>0.99416920574213</v>
      </c>
      <c r="K34" s="14">
        <v>0.0014614555195305</v>
      </c>
      <c r="L34" s="14">
        <v>0.0043693387383393</v>
      </c>
    </row>
    <row r="35" spans="1:12">
      <c r="A35" s="13" t="s">
        <v>26</v>
      </c>
      <c r="B35" s="13" t="s">
        <v>19</v>
      </c>
      <c r="C35" s="13" t="s">
        <v>40</v>
      </c>
      <c r="D35" s="13">
        <v>274186</v>
      </c>
      <c r="E35" s="13">
        <v>273967</v>
      </c>
      <c r="F35" s="13">
        <v>1780.649716359</v>
      </c>
      <c r="G35" s="13">
        <v>659</v>
      </c>
      <c r="H35" s="13">
        <v>0</v>
      </c>
      <c r="I35" s="13">
        <v>723</v>
      </c>
      <c r="J35" s="13">
        <v>0.994980915129527</v>
      </c>
      <c r="K35" s="13">
        <v>0.0023933262877293</v>
      </c>
      <c r="L35" s="13">
        <v>0.002625758582744</v>
      </c>
    </row>
    <row r="36" spans="1:12">
      <c r="A36" s="14" t="s">
        <v>27</v>
      </c>
      <c r="B36" s="14" t="s">
        <v>15</v>
      </c>
      <c r="C36" s="14" t="s">
        <v>40</v>
      </c>
      <c r="D36" s="14">
        <v>2683</v>
      </c>
      <c r="E36" s="14">
        <v>2665</v>
      </c>
      <c r="F36" s="14">
        <v>135.456313023714</v>
      </c>
      <c r="G36" s="14">
        <v>3</v>
      </c>
      <c r="H36" s="14">
        <v>4</v>
      </c>
      <c r="I36" s="14">
        <v>1174</v>
      </c>
      <c r="J36" s="14">
        <v>0.989602673598218</v>
      </c>
      <c r="K36" s="14">
        <v>0.0025993316004456</v>
      </c>
      <c r="L36" s="14">
        <v>0.435945042703305</v>
      </c>
    </row>
    <row r="37" spans="1:12">
      <c r="A37" s="13" t="s">
        <v>27</v>
      </c>
      <c r="B37" s="13" t="s">
        <v>17</v>
      </c>
      <c r="C37" s="13" t="s">
        <v>40</v>
      </c>
      <c r="D37" s="13">
        <v>21109</v>
      </c>
      <c r="E37" s="13">
        <v>19917</v>
      </c>
      <c r="F37" s="13">
        <v>247.895419035</v>
      </c>
      <c r="G37" s="13">
        <v>12</v>
      </c>
      <c r="H37" s="13">
        <v>27</v>
      </c>
      <c r="I37" s="13">
        <v>1174</v>
      </c>
      <c r="J37" s="13">
        <v>0.94259346900142</v>
      </c>
      <c r="K37" s="13">
        <v>0.0018457169900615</v>
      </c>
      <c r="L37" s="13">
        <v>0.0555608140085186</v>
      </c>
    </row>
    <row r="38" spans="1:12">
      <c r="A38" s="14" t="s">
        <v>27</v>
      </c>
      <c r="B38" s="14" t="s">
        <v>18</v>
      </c>
      <c r="C38" s="14" t="s">
        <v>40</v>
      </c>
      <c r="D38" s="14">
        <v>99519</v>
      </c>
      <c r="E38" s="14">
        <v>95833</v>
      </c>
      <c r="F38" s="14">
        <v>529.068826284413</v>
      </c>
      <c r="G38" s="14">
        <v>22</v>
      </c>
      <c r="H38" s="14">
        <v>8</v>
      </c>
      <c r="I38" s="14">
        <v>4830</v>
      </c>
      <c r="J38" s="14">
        <v>0.951734480053231</v>
      </c>
      <c r="K38" s="14">
        <v>0.0002979353083133</v>
      </c>
      <c r="L38" s="14">
        <v>0.0479675846384555</v>
      </c>
    </row>
    <row r="39" spans="1:12">
      <c r="A39" s="13" t="s">
        <v>27</v>
      </c>
      <c r="B39" s="13" t="s">
        <v>19</v>
      </c>
      <c r="C39" s="13" t="s">
        <v>40</v>
      </c>
      <c r="D39" s="13">
        <v>174268</v>
      </c>
      <c r="E39" s="13">
        <v>175387</v>
      </c>
      <c r="F39" s="13">
        <v>941.35026600568</v>
      </c>
      <c r="G39" s="13">
        <v>67</v>
      </c>
      <c r="H39" s="13">
        <v>8</v>
      </c>
      <c r="I39" s="13">
        <v>3634</v>
      </c>
      <c r="J39" s="13">
        <v>0.979279500608605</v>
      </c>
      <c r="K39" s="13">
        <v>0.0004187651453394</v>
      </c>
      <c r="L39" s="13">
        <v>0.0202905671755128</v>
      </c>
    </row>
    <row r="40" spans="1:12">
      <c r="A40" s="14" t="s">
        <v>28</v>
      </c>
      <c r="B40" s="14" t="s">
        <v>15</v>
      </c>
      <c r="C40" s="14" t="s">
        <v>40</v>
      </c>
      <c r="D40" s="14">
        <v>9286</v>
      </c>
      <c r="E40" s="14">
        <v>8579</v>
      </c>
      <c r="F40" s="14">
        <v>187.67509534</v>
      </c>
      <c r="G40" s="14">
        <v>710</v>
      </c>
      <c r="H40" s="14">
        <v>0</v>
      </c>
      <c r="I40" s="14">
        <v>1</v>
      </c>
      <c r="J40" s="14">
        <v>0.923267326732673</v>
      </c>
      <c r="K40" s="14">
        <v>0.0764098148945329</v>
      </c>
      <c r="L40" s="14">
        <v>0.0001076194575979</v>
      </c>
    </row>
    <row r="41" spans="1:12">
      <c r="A41" s="13" t="s">
        <v>28</v>
      </c>
      <c r="B41" s="13" t="s">
        <v>17</v>
      </c>
      <c r="C41" s="13" t="s">
        <v>40</v>
      </c>
      <c r="D41" s="13">
        <v>9208</v>
      </c>
      <c r="E41" s="13">
        <v>8711</v>
      </c>
      <c r="F41" s="13">
        <v>217.047534902</v>
      </c>
      <c r="G41" s="13">
        <v>265</v>
      </c>
      <c r="H41" s="13">
        <v>234</v>
      </c>
      <c r="I41" s="13">
        <v>1</v>
      </c>
      <c r="J41" s="13">
        <v>0.945717077407448</v>
      </c>
      <c r="K41" s="13">
        <v>0.0541743567473672</v>
      </c>
      <c r="L41" s="13">
        <v>0.0001085658451851</v>
      </c>
    </row>
    <row r="42" spans="1:12">
      <c r="A42" s="14" t="s">
        <v>28</v>
      </c>
      <c r="B42" s="14" t="s">
        <v>18</v>
      </c>
      <c r="C42" s="14" t="s">
        <v>40</v>
      </c>
      <c r="D42" s="14">
        <v>969</v>
      </c>
      <c r="E42" s="14">
        <v>957</v>
      </c>
      <c r="F42" s="14">
        <v>13.669937615</v>
      </c>
      <c r="G42" s="14">
        <v>10</v>
      </c>
      <c r="H42" s="14">
        <v>0</v>
      </c>
      <c r="I42" s="14">
        <v>2</v>
      </c>
      <c r="J42" s="14">
        <v>0.987616099071207</v>
      </c>
      <c r="K42" s="14">
        <v>0.0103199174406604</v>
      </c>
      <c r="L42" s="14">
        <v>0.002063983488132</v>
      </c>
    </row>
    <row r="43" spans="1:12">
      <c r="A43" s="13" t="s">
        <v>28</v>
      </c>
      <c r="B43" s="13" t="s">
        <v>19</v>
      </c>
      <c r="C43" s="13" t="s">
        <v>40</v>
      </c>
      <c r="D43" s="13">
        <v>14875</v>
      </c>
      <c r="E43" s="13">
        <v>14736</v>
      </c>
      <c r="F43" s="13">
        <v>421.908106067</v>
      </c>
      <c r="G43" s="13">
        <v>139</v>
      </c>
      <c r="H43" s="13">
        <v>0</v>
      </c>
      <c r="I43" s="13">
        <v>0</v>
      </c>
      <c r="J43" s="13">
        <v>0.990655462184874</v>
      </c>
      <c r="K43" s="13">
        <v>0.009344537815126</v>
      </c>
      <c r="L43" s="13">
        <v>0</v>
      </c>
    </row>
    <row r="44" spans="1:12">
      <c r="A44" s="14" t="s">
        <v>29</v>
      </c>
      <c r="B44" s="14" t="s">
        <v>15</v>
      </c>
      <c r="C44" s="14" t="s">
        <v>40</v>
      </c>
      <c r="D44" s="14">
        <v>48700</v>
      </c>
      <c r="E44" s="14">
        <v>48572</v>
      </c>
      <c r="F44" s="14">
        <v>415.546775222</v>
      </c>
      <c r="G44" s="14">
        <v>141</v>
      </c>
      <c r="H44" s="14">
        <v>0</v>
      </c>
      <c r="I44" s="14">
        <v>176</v>
      </c>
      <c r="J44" s="14">
        <v>0.996982696689177</v>
      </c>
      <c r="K44" s="14">
        <v>0.0028941480736468</v>
      </c>
      <c r="L44" s="14">
        <v>0.0036125536238428</v>
      </c>
    </row>
    <row r="45" spans="1:12">
      <c r="A45" s="13" t="s">
        <v>29</v>
      </c>
      <c r="B45" s="13" t="s">
        <v>17</v>
      </c>
      <c r="C45" s="13" t="s">
        <v>40</v>
      </c>
      <c r="D45" s="13">
        <v>53350</v>
      </c>
      <c r="E45" s="13">
        <v>52875</v>
      </c>
      <c r="F45" s="13">
        <v>490.280715373999</v>
      </c>
      <c r="G45" s="13">
        <v>305</v>
      </c>
      <c r="H45" s="13">
        <v>0</v>
      </c>
      <c r="I45" s="13">
        <v>176</v>
      </c>
      <c r="J45" s="13">
        <v>0.99098508134043</v>
      </c>
      <c r="K45" s="13">
        <v>0.0057163205637604</v>
      </c>
      <c r="L45" s="13">
        <v>0.0032985980958092</v>
      </c>
    </row>
    <row r="46" spans="1:12">
      <c r="A46" s="14" t="s">
        <v>29</v>
      </c>
      <c r="B46" s="14" t="s">
        <v>18</v>
      </c>
      <c r="C46" s="14" t="s">
        <v>40</v>
      </c>
      <c r="D46" s="14">
        <v>72655</v>
      </c>
      <c r="E46" s="14">
        <v>72334</v>
      </c>
      <c r="F46" s="14">
        <v>632.92737280911</v>
      </c>
      <c r="G46" s="14">
        <v>335</v>
      </c>
      <c r="H46" s="14">
        <v>0</v>
      </c>
      <c r="I46" s="14">
        <v>162</v>
      </c>
      <c r="J46" s="14">
        <v>0.993175982754596</v>
      </c>
      <c r="K46" s="14">
        <v>0.0045996896925759</v>
      </c>
      <c r="L46" s="14">
        <v>0.0022243275528277</v>
      </c>
    </row>
    <row r="47" spans="1:12">
      <c r="A47" s="13" t="s">
        <v>29</v>
      </c>
      <c r="B47" s="13" t="s">
        <v>19</v>
      </c>
      <c r="C47" s="13" t="s">
        <v>40</v>
      </c>
      <c r="D47" s="13">
        <v>89635</v>
      </c>
      <c r="E47" s="13">
        <v>89283</v>
      </c>
      <c r="F47" s="13">
        <v>865.978787565337</v>
      </c>
      <c r="G47" s="13">
        <v>87</v>
      </c>
      <c r="H47" s="13">
        <v>0</v>
      </c>
      <c r="I47" s="13">
        <v>427</v>
      </c>
      <c r="J47" s="13">
        <v>0.994275978039355</v>
      </c>
      <c r="K47" s="13">
        <v>0.0009688519661013</v>
      </c>
      <c r="L47" s="13">
        <v>0.0047551699945432</v>
      </c>
    </row>
    <row r="48" spans="1:12">
      <c r="A48" s="14" t="s">
        <v>30</v>
      </c>
      <c r="B48" s="14" t="s">
        <v>15</v>
      </c>
      <c r="C48" s="14" t="s">
        <v>40</v>
      </c>
      <c r="D48" s="14">
        <v>8011</v>
      </c>
      <c r="E48" s="14">
        <v>7932</v>
      </c>
      <c r="F48" s="14">
        <v>108.6581567</v>
      </c>
      <c r="G48" s="14">
        <v>79</v>
      </c>
      <c r="H48" s="14">
        <v>0</v>
      </c>
      <c r="I48" s="14">
        <v>0</v>
      </c>
      <c r="J48" s="14">
        <v>0.990138559480714</v>
      </c>
      <c r="K48" s="14">
        <v>0.0098614405192859</v>
      </c>
      <c r="L48" s="14">
        <v>0</v>
      </c>
    </row>
    <row r="49" spans="1:12">
      <c r="A49" s="13" t="s">
        <v>30</v>
      </c>
      <c r="B49" s="13" t="s">
        <v>17</v>
      </c>
      <c r="C49" s="13" t="s">
        <v>40</v>
      </c>
      <c r="D49" s="13">
        <v>9675</v>
      </c>
      <c r="E49" s="13">
        <v>9605</v>
      </c>
      <c r="F49" s="13">
        <v>155.034876053</v>
      </c>
      <c r="G49" s="13">
        <v>69</v>
      </c>
      <c r="H49" s="13">
        <v>1</v>
      </c>
      <c r="I49" s="13">
        <v>0</v>
      </c>
      <c r="J49" s="13">
        <v>0.992764857881137</v>
      </c>
      <c r="K49" s="13">
        <v>0.007235142118863</v>
      </c>
      <c r="L49" s="13">
        <v>0</v>
      </c>
    </row>
    <row r="50" spans="1:12">
      <c r="A50" s="14" t="s">
        <v>30</v>
      </c>
      <c r="B50" s="14" t="s">
        <v>18</v>
      </c>
      <c r="C50" s="14" t="s">
        <v>40</v>
      </c>
      <c r="D50" s="14">
        <v>12849</v>
      </c>
      <c r="E50" s="14">
        <v>12788</v>
      </c>
      <c r="F50" s="14">
        <v>226.461556706</v>
      </c>
      <c r="G50" s="14">
        <v>61</v>
      </c>
      <c r="H50" s="14">
        <v>0</v>
      </c>
      <c r="I50" s="14">
        <v>0</v>
      </c>
      <c r="J50" s="14">
        <v>0.995252548836485</v>
      </c>
      <c r="K50" s="14">
        <v>0.0047474511635146</v>
      </c>
      <c r="L50" s="14">
        <v>0</v>
      </c>
    </row>
    <row r="51" spans="1:12">
      <c r="A51" s="13" t="s">
        <v>30</v>
      </c>
      <c r="B51" s="13" t="s">
        <v>19</v>
      </c>
      <c r="C51" s="13" t="s">
        <v>40</v>
      </c>
      <c r="D51" s="13">
        <v>14340</v>
      </c>
      <c r="E51" s="13">
        <v>14236</v>
      </c>
      <c r="F51" s="13">
        <v>380.774734296</v>
      </c>
      <c r="G51" s="13">
        <v>104</v>
      </c>
      <c r="H51" s="13">
        <v>0</v>
      </c>
      <c r="I51" s="13">
        <v>0</v>
      </c>
      <c r="J51" s="13">
        <v>0.992747559274756</v>
      </c>
      <c r="K51" s="13">
        <v>0.007252440725244</v>
      </c>
      <c r="L51" s="13">
        <v>0</v>
      </c>
    </row>
    <row r="52" spans="1:12">
      <c r="A52" s="14" t="s">
        <v>31</v>
      </c>
      <c r="B52" s="14" t="s">
        <v>15</v>
      </c>
      <c r="C52" s="14" t="s">
        <v>40</v>
      </c>
      <c r="D52" s="14">
        <v>1310</v>
      </c>
      <c r="E52" s="14">
        <v>1264</v>
      </c>
      <c r="F52" s="14">
        <v>141.524081172</v>
      </c>
      <c r="G52" s="14">
        <v>39</v>
      </c>
      <c r="H52" s="14">
        <v>5</v>
      </c>
      <c r="I52" s="14">
        <v>0</v>
      </c>
      <c r="J52" s="14">
        <v>0.961948249619482</v>
      </c>
      <c r="K52" s="14">
        <v>0.0334855403348554</v>
      </c>
      <c r="L52" s="14">
        <v>0</v>
      </c>
    </row>
    <row r="53" spans="1:12">
      <c r="A53" s="13" t="s">
        <v>31</v>
      </c>
      <c r="B53" s="13" t="s">
        <v>17</v>
      </c>
      <c r="C53" s="13" t="s">
        <v>40</v>
      </c>
      <c r="D53" s="13">
        <v>1678</v>
      </c>
      <c r="E53" s="13">
        <v>1664</v>
      </c>
      <c r="F53" s="13">
        <v>150.693948558</v>
      </c>
      <c r="G53" s="13">
        <v>20</v>
      </c>
      <c r="H53" s="13">
        <v>0</v>
      </c>
      <c r="I53" s="13">
        <v>0</v>
      </c>
      <c r="J53" s="13">
        <v>0.98812351543943</v>
      </c>
      <c r="K53" s="13">
        <v>0.01187648456057</v>
      </c>
      <c r="L53" s="13">
        <v>0</v>
      </c>
    </row>
    <row r="54" spans="1:12">
      <c r="A54" s="14" t="s">
        <v>31</v>
      </c>
      <c r="B54" s="14" t="s">
        <v>18</v>
      </c>
      <c r="C54" s="14" t="s">
        <v>40</v>
      </c>
      <c r="D54" s="14">
        <v>4890</v>
      </c>
      <c r="E54" s="14">
        <v>4857</v>
      </c>
      <c r="F54" s="14">
        <v>207.803081456</v>
      </c>
      <c r="G54" s="14">
        <v>31</v>
      </c>
      <c r="H54" s="14">
        <v>0</v>
      </c>
      <c r="I54" s="14">
        <v>0</v>
      </c>
      <c r="J54" s="14">
        <v>0.993251533742331</v>
      </c>
      <c r="K54" s="14">
        <v>0.0063394683026584</v>
      </c>
      <c r="L54" s="14">
        <v>0</v>
      </c>
    </row>
    <row r="55" spans="1:12">
      <c r="A55" s="13" t="s">
        <v>31</v>
      </c>
      <c r="B55" s="13" t="s">
        <v>19</v>
      </c>
      <c r="C55" s="13" t="s">
        <v>40</v>
      </c>
      <c r="D55" s="13">
        <v>16706</v>
      </c>
      <c r="E55" s="13">
        <v>16648</v>
      </c>
      <c r="F55" s="13">
        <v>380.289896582</v>
      </c>
      <c r="G55" s="13">
        <v>55</v>
      </c>
      <c r="H55" s="13">
        <v>0</v>
      </c>
      <c r="I55" s="13">
        <v>3</v>
      </c>
      <c r="J55" s="13">
        <v>0.996528193463426</v>
      </c>
      <c r="K55" s="13">
        <v>0.003292230336406</v>
      </c>
      <c r="L55" s="13">
        <v>0.0001795762001676</v>
      </c>
    </row>
    <row r="56" spans="1:12">
      <c r="A56" s="14" t="s">
        <v>32</v>
      </c>
      <c r="B56" s="14" t="s">
        <v>15</v>
      </c>
      <c r="C56" s="14" t="s">
        <v>40</v>
      </c>
      <c r="D56" s="14">
        <v>48467</v>
      </c>
      <c r="E56" s="14">
        <v>48236</v>
      </c>
      <c r="F56" s="14">
        <v>186.265046173</v>
      </c>
      <c r="G56" s="14">
        <v>226</v>
      </c>
      <c r="H56" s="14">
        <v>0</v>
      </c>
      <c r="I56" s="14">
        <v>260</v>
      </c>
      <c r="J56" s="14">
        <v>0.994741292198552</v>
      </c>
      <c r="K56" s="14">
        <v>0.0046606586789301</v>
      </c>
      <c r="L56" s="14">
        <v>0.0053618197191231</v>
      </c>
    </row>
    <row r="57" spans="1:12">
      <c r="A57" s="13" t="s">
        <v>32</v>
      </c>
      <c r="B57" s="13" t="s">
        <v>17</v>
      </c>
      <c r="C57" s="13" t="s">
        <v>40</v>
      </c>
      <c r="D57" s="13">
        <v>78715</v>
      </c>
      <c r="E57" s="13">
        <v>78255</v>
      </c>
      <c r="F57" s="13">
        <v>304.91</v>
      </c>
      <c r="G57" s="13">
        <v>207</v>
      </c>
      <c r="H57" s="13">
        <v>22</v>
      </c>
      <c r="I57" s="13">
        <v>260</v>
      </c>
      <c r="J57" s="13">
        <v>0.993790003047851</v>
      </c>
      <c r="K57" s="13">
        <v>0.0029081580818856</v>
      </c>
      <c r="L57" s="13">
        <v>0.0033018388702631</v>
      </c>
    </row>
    <row r="58" spans="1:12">
      <c r="A58" s="14" t="s">
        <v>32</v>
      </c>
      <c r="B58" s="14" t="s">
        <v>18</v>
      </c>
      <c r="C58" s="14" t="s">
        <v>40</v>
      </c>
      <c r="D58" s="14">
        <v>71908</v>
      </c>
      <c r="E58" s="14">
        <v>71858</v>
      </c>
      <c r="F58" s="14">
        <v>348.317220228</v>
      </c>
      <c r="G58" s="14">
        <v>229</v>
      </c>
      <c r="H58" s="14">
        <v>19</v>
      </c>
      <c r="I58" s="14">
        <v>36</v>
      </c>
      <c r="J58" s="14">
        <v>0.995704467353952</v>
      </c>
      <c r="K58" s="14">
        <v>0.0034364261168384</v>
      </c>
      <c r="L58" s="14">
        <v>0.0004988360492184</v>
      </c>
    </row>
    <row r="59" spans="1:12">
      <c r="A59" s="13" t="s">
        <v>32</v>
      </c>
      <c r="B59" s="13" t="s">
        <v>19</v>
      </c>
      <c r="C59" s="13" t="s">
        <v>40</v>
      </c>
      <c r="D59" s="13">
        <v>37882</v>
      </c>
      <c r="E59" s="13">
        <v>37649</v>
      </c>
      <c r="F59" s="13">
        <v>278.727128245</v>
      </c>
      <c r="G59" s="13">
        <v>214</v>
      </c>
      <c r="H59" s="13">
        <v>21</v>
      </c>
      <c r="I59" s="13">
        <v>34</v>
      </c>
      <c r="J59" s="13">
        <v>0.992905743973838</v>
      </c>
      <c r="K59" s="13">
        <v>0.0061975842607732</v>
      </c>
      <c r="L59" s="13">
        <v>0.0008966717653884</v>
      </c>
    </row>
    <row r="60" spans="1:12">
      <c r="A60" s="14" t="s">
        <v>33</v>
      </c>
      <c r="B60" s="14" t="s">
        <v>15</v>
      </c>
      <c r="C60" s="14" t="s">
        <v>40</v>
      </c>
      <c r="D60" s="14">
        <v>7330</v>
      </c>
      <c r="E60" s="14">
        <v>7262</v>
      </c>
      <c r="F60" s="14">
        <v>37.34419244</v>
      </c>
      <c r="G60" s="14">
        <v>6</v>
      </c>
      <c r="H60" s="14">
        <v>0</v>
      </c>
      <c r="I60" s="14">
        <v>4</v>
      </c>
      <c r="J60" s="14">
        <v>0.99058791433638</v>
      </c>
      <c r="K60" s="14">
        <v>0.0008184422316191</v>
      </c>
      <c r="L60" s="14">
        <v>0.0005456281544127</v>
      </c>
    </row>
    <row r="61" spans="1:12">
      <c r="A61" s="13" t="s">
        <v>33</v>
      </c>
      <c r="B61" s="13" t="s">
        <v>17</v>
      </c>
      <c r="C61" s="13" t="s">
        <v>40</v>
      </c>
      <c r="D61" s="13">
        <v>6434</v>
      </c>
      <c r="E61" s="13">
        <v>5608</v>
      </c>
      <c r="F61" s="13">
        <v>40.7576036339</v>
      </c>
      <c r="G61" s="13">
        <v>8</v>
      </c>
      <c r="H61" s="13">
        <v>876</v>
      </c>
      <c r="I61" s="13">
        <v>4</v>
      </c>
      <c r="J61" s="13">
        <v>0.863167615822687</v>
      </c>
      <c r="K61" s="13">
        <v>0.13606279821456</v>
      </c>
      <c r="L61" s="13">
        <v>0.0006156687702016</v>
      </c>
    </row>
    <row r="62" spans="1:12">
      <c r="A62" s="14" t="s">
        <v>33</v>
      </c>
      <c r="B62" s="14" t="s">
        <v>18</v>
      </c>
      <c r="C62" s="14" t="s">
        <v>40</v>
      </c>
      <c r="D62" s="14">
        <v>3183</v>
      </c>
      <c r="E62" s="14">
        <v>3163</v>
      </c>
      <c r="F62" s="14">
        <v>23.77325999</v>
      </c>
      <c r="G62" s="14">
        <v>10</v>
      </c>
      <c r="H62" s="14">
        <v>9</v>
      </c>
      <c r="I62" s="14">
        <v>2</v>
      </c>
      <c r="J62" s="14">
        <v>0.992469406965799</v>
      </c>
      <c r="K62" s="14">
        <v>0.0059617194854094</v>
      </c>
      <c r="L62" s="14">
        <v>0.0006275494195167</v>
      </c>
    </row>
    <row r="63" spans="1:12">
      <c r="A63" s="13" t="s">
        <v>33</v>
      </c>
      <c r="B63" s="13" t="s">
        <v>19</v>
      </c>
      <c r="C63" s="13" t="s">
        <v>40</v>
      </c>
      <c r="D63" s="13">
        <v>540</v>
      </c>
      <c r="E63" s="13">
        <v>540</v>
      </c>
      <c r="F63" s="13">
        <v>11.317546486</v>
      </c>
      <c r="G63" s="13">
        <v>0</v>
      </c>
      <c r="H63" s="13">
        <v>0</v>
      </c>
      <c r="I63" s="13">
        <v>2</v>
      </c>
      <c r="J63" s="13">
        <v>0.996309963099631</v>
      </c>
      <c r="K63" s="13">
        <v>0</v>
      </c>
      <c r="L63" s="13">
        <v>0.003690036900369</v>
      </c>
    </row>
    <row r="64" spans="1:12">
      <c r="A64" s="14" t="s">
        <v>34</v>
      </c>
      <c r="B64" s="14" t="s">
        <v>15</v>
      </c>
      <c r="C64" s="14" t="s">
        <v>40</v>
      </c>
      <c r="D64" s="14">
        <v>8</v>
      </c>
      <c r="E64" s="14">
        <v>7</v>
      </c>
      <c r="F64" s="14">
        <v>0.016859069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</row>
    <row r="65" spans="1:12">
      <c r="A65" s="13" t="s">
        <v>34</v>
      </c>
      <c r="B65" s="13" t="s">
        <v>17</v>
      </c>
      <c r="C65" s="13" t="s">
        <v>40</v>
      </c>
      <c r="D65" s="13">
        <v>5</v>
      </c>
      <c r="E65" s="13">
        <v>6</v>
      </c>
      <c r="F65" s="13">
        <v>0.01595486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</row>
    <row r="66" spans="1:12">
      <c r="A66" s="14" t="s">
        <v>34</v>
      </c>
      <c r="B66" s="14" t="s">
        <v>18</v>
      </c>
      <c r="C66" s="14" t="s">
        <v>40</v>
      </c>
      <c r="D66" s="14">
        <v>1</v>
      </c>
      <c r="E66" s="14">
        <v>1</v>
      </c>
      <c r="F66" s="14">
        <v>0.001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</row>
    <row r="67" spans="1:12">
      <c r="A67" s="13" t="s">
        <v>34</v>
      </c>
      <c r="B67" s="13" t="s">
        <v>19</v>
      </c>
      <c r="C67" s="13" t="s">
        <v>40</v>
      </c>
      <c r="D67" s="13">
        <v>0</v>
      </c>
      <c r="E67" s="13">
        <v>0</v>
      </c>
      <c r="F67" s="13">
        <v>0.001</v>
      </c>
      <c r="G67" s="13">
        <v>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</row>
    <row r="68" spans="1:12">
      <c r="A68" s="14" t="s">
        <v>35</v>
      </c>
      <c r="B68" s="14" t="s">
        <v>15</v>
      </c>
      <c r="C68" s="14" t="s">
        <v>40</v>
      </c>
      <c r="D68" s="14">
        <v>4908</v>
      </c>
      <c r="E68" s="14">
        <v>4448</v>
      </c>
      <c r="F68" s="14">
        <v>99.5755291649997</v>
      </c>
      <c r="G68" s="14">
        <v>358</v>
      </c>
      <c r="H68" s="14">
        <v>101</v>
      </c>
      <c r="I68" s="14">
        <v>2</v>
      </c>
      <c r="J68" s="14">
        <v>0.905906313645621</v>
      </c>
      <c r="K68" s="14">
        <v>0.0934826883910387</v>
      </c>
      <c r="L68" s="14">
        <v>0.00040733197556</v>
      </c>
    </row>
    <row r="69" spans="1:12">
      <c r="A69" s="13" t="s">
        <v>35</v>
      </c>
      <c r="B69" s="13" t="s">
        <v>17</v>
      </c>
      <c r="C69" s="13" t="s">
        <v>40</v>
      </c>
      <c r="D69" s="13">
        <v>5444</v>
      </c>
      <c r="E69" s="13">
        <v>5165</v>
      </c>
      <c r="F69" s="13">
        <v>118.227974487</v>
      </c>
      <c r="G69" s="13">
        <v>10</v>
      </c>
      <c r="H69" s="13">
        <v>266</v>
      </c>
      <c r="I69" s="13">
        <v>2</v>
      </c>
      <c r="J69" s="13">
        <v>0.948228382595924</v>
      </c>
      <c r="K69" s="13">
        <v>0.0506700936295208</v>
      </c>
      <c r="L69" s="13">
        <v>0.0003671745915182</v>
      </c>
    </row>
    <row r="70" spans="1:12">
      <c r="A70" s="14" t="s">
        <v>35</v>
      </c>
      <c r="B70" s="14" t="s">
        <v>18</v>
      </c>
      <c r="C70" s="14" t="s">
        <v>40</v>
      </c>
      <c r="D70" s="14">
        <v>6031</v>
      </c>
      <c r="E70" s="14">
        <v>5614</v>
      </c>
      <c r="F70" s="14">
        <v>123.323536401</v>
      </c>
      <c r="G70" s="14">
        <v>14</v>
      </c>
      <c r="H70" s="14">
        <v>398</v>
      </c>
      <c r="I70" s="14">
        <v>7</v>
      </c>
      <c r="J70" s="14">
        <v>0.930548649096635</v>
      </c>
      <c r="K70" s="14">
        <v>0.0682910658047405</v>
      </c>
      <c r="L70" s="14">
        <v>0.0011602850986242</v>
      </c>
    </row>
    <row r="71" spans="1:12">
      <c r="A71" s="13" t="s">
        <v>35</v>
      </c>
      <c r="B71" s="13" t="s">
        <v>19</v>
      </c>
      <c r="C71" s="13" t="s">
        <v>40</v>
      </c>
      <c r="D71" s="13">
        <v>9419</v>
      </c>
      <c r="E71" s="13">
        <v>8515</v>
      </c>
      <c r="F71" s="13">
        <v>197.791416991</v>
      </c>
      <c r="G71" s="13">
        <v>23</v>
      </c>
      <c r="H71" s="13">
        <v>888</v>
      </c>
      <c r="I71" s="13">
        <v>0</v>
      </c>
      <c r="J71" s="13">
        <v>0.903352429450456</v>
      </c>
      <c r="K71" s="13">
        <v>0.0966475705495438</v>
      </c>
      <c r="L71" s="13">
        <v>0</v>
      </c>
    </row>
    <row r="72" spans="1:12">
      <c r="A72" s="14" t="s">
        <v>36</v>
      </c>
      <c r="B72" s="14" t="s">
        <v>15</v>
      </c>
      <c r="C72" s="14" t="s">
        <v>40</v>
      </c>
      <c r="D72" s="14">
        <v>577</v>
      </c>
      <c r="E72" s="14">
        <v>576</v>
      </c>
      <c r="F72" s="14">
        <v>92.109717109</v>
      </c>
      <c r="G72" s="14">
        <v>1</v>
      </c>
      <c r="H72" s="14">
        <v>0</v>
      </c>
      <c r="I72" s="14">
        <v>0</v>
      </c>
      <c r="J72" s="14">
        <v>0.998266897746967</v>
      </c>
      <c r="K72" s="14">
        <v>0.0017331022530329</v>
      </c>
      <c r="L72" s="14">
        <v>0</v>
      </c>
    </row>
    <row r="73" spans="1:12">
      <c r="A73" s="13" t="s">
        <v>36</v>
      </c>
      <c r="B73" s="13" t="s">
        <v>17</v>
      </c>
      <c r="C73" s="13" t="s">
        <v>40</v>
      </c>
      <c r="D73" s="13">
        <v>486</v>
      </c>
      <c r="E73" s="13">
        <v>486</v>
      </c>
      <c r="F73" s="13">
        <v>94.184476252</v>
      </c>
      <c r="G73" s="13">
        <v>0</v>
      </c>
      <c r="H73" s="13">
        <v>0</v>
      </c>
      <c r="I73" s="13">
        <v>0</v>
      </c>
      <c r="J73" s="13">
        <v>1</v>
      </c>
      <c r="K73" s="13">
        <v>0</v>
      </c>
      <c r="L73" s="13">
        <v>0</v>
      </c>
    </row>
    <row r="74" spans="1:12">
      <c r="A74" s="14" t="s">
        <v>36</v>
      </c>
      <c r="B74" s="14" t="s">
        <v>18</v>
      </c>
      <c r="C74" s="14" t="s">
        <v>40</v>
      </c>
      <c r="D74" s="14">
        <v>533</v>
      </c>
      <c r="E74" s="14">
        <v>527</v>
      </c>
      <c r="F74" s="14">
        <v>127.18</v>
      </c>
      <c r="G74" s="14">
        <v>6</v>
      </c>
      <c r="H74" s="14">
        <v>0</v>
      </c>
      <c r="I74" s="14">
        <v>0</v>
      </c>
      <c r="J74" s="14">
        <v>0.98874296435272</v>
      </c>
      <c r="K74" s="14">
        <v>0.0112570356472795</v>
      </c>
      <c r="L74" s="14">
        <v>0</v>
      </c>
    </row>
    <row r="75" spans="1:12">
      <c r="A75" s="13" t="s">
        <v>36</v>
      </c>
      <c r="B75" s="13" t="s">
        <v>19</v>
      </c>
      <c r="C75" s="13" t="s">
        <v>40</v>
      </c>
      <c r="D75" s="13">
        <v>1033</v>
      </c>
      <c r="E75" s="13">
        <v>1026</v>
      </c>
      <c r="F75" s="13">
        <v>206.086786354999</v>
      </c>
      <c r="G75" s="13">
        <v>7</v>
      </c>
      <c r="H75" s="13">
        <v>0</v>
      </c>
      <c r="I75" s="13">
        <v>0</v>
      </c>
      <c r="J75" s="13">
        <v>0.993223620522749</v>
      </c>
      <c r="K75" s="13">
        <v>0.0067763794772507</v>
      </c>
      <c r="L75" s="13">
        <v>0</v>
      </c>
    </row>
    <row r="76" spans="1:12">
      <c r="A76" s="14" t="s">
        <v>36</v>
      </c>
      <c r="B76" s="14" t="s">
        <v>37</v>
      </c>
      <c r="C76" s="14" t="s">
        <v>40</v>
      </c>
      <c r="D76" s="14">
        <v>1748</v>
      </c>
      <c r="E76" s="14">
        <v>1738</v>
      </c>
      <c r="F76" s="14">
        <v>266.611149953</v>
      </c>
      <c r="G76" s="14">
        <v>10</v>
      </c>
      <c r="H76" s="14">
        <v>0</v>
      </c>
      <c r="I76" s="14">
        <v>0</v>
      </c>
      <c r="J76" s="14">
        <v>0.994279176201373</v>
      </c>
      <c r="K76" s="14">
        <v>0.005720823798627</v>
      </c>
      <c r="L76" s="14">
        <v>0</v>
      </c>
    </row>
  </sheetData>
  <mergeCells count="2">
    <mergeCell ref="A1:L1"/>
    <mergeCell ref="A2:L2"/>
  </mergeCells>
  <conditionalFormatting sqref="J4:J76"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showGridLines="0" tabSelected="1" zoomScale="95" zoomScaleNormal="95" topLeftCell="A3" workbookViewId="0">
      <selection activeCell="H17" sqref="H17"/>
    </sheetView>
  </sheetViews>
  <sheetFormatPr defaultColWidth="9" defaultRowHeight="14.4" outlineLevelCol="7"/>
  <cols>
    <col min="1" max="1" width="10" customWidth="1"/>
    <col min="2" max="2" width="22" customWidth="1"/>
    <col min="3" max="4" width="28" customWidth="1"/>
    <col min="5" max="5" width="26" customWidth="1"/>
    <col min="6" max="6" width="18" customWidth="1"/>
    <col min="7" max="7" width="16" customWidth="1"/>
    <col min="8" max="8" width="13.3888888888889" customWidth="1"/>
  </cols>
  <sheetData>
    <row r="1" ht="22" customHeight="1" spans="1:5">
      <c r="A1" s="10" t="s">
        <v>41</v>
      </c>
      <c r="B1" s="10"/>
      <c r="C1" s="10"/>
      <c r="D1" s="10"/>
      <c r="E1" s="11"/>
    </row>
    <row r="2" spans="1:5">
      <c r="A2" s="12" t="s">
        <v>42</v>
      </c>
      <c r="B2" s="12" t="s">
        <v>2</v>
      </c>
      <c r="C2" s="12" t="s">
        <v>43</v>
      </c>
      <c r="D2" s="12" t="s">
        <v>44</v>
      </c>
    </row>
    <row r="3" spans="1:5">
      <c r="A3" s="13">
        <v>1</v>
      </c>
      <c r="B3" s="13" t="s">
        <v>30</v>
      </c>
      <c r="C3" s="13">
        <v>98.89</v>
      </c>
      <c r="D3" s="13" t="s">
        <v>45</v>
      </c>
    </row>
    <row r="4" spans="1:5">
      <c r="A4" s="14">
        <v>2</v>
      </c>
      <c r="B4" s="14" t="s">
        <v>36</v>
      </c>
      <c r="C4" s="14">
        <v>98.54</v>
      </c>
      <c r="D4" s="14" t="s">
        <v>45</v>
      </c>
    </row>
    <row r="5" spans="1:5">
      <c r="A5" s="13">
        <v>3</v>
      </c>
      <c r="B5" s="13" t="s">
        <v>26</v>
      </c>
      <c r="C5" s="13">
        <v>98.48</v>
      </c>
      <c r="D5" s="13" t="s">
        <v>45</v>
      </c>
    </row>
    <row r="6" spans="1:5">
      <c r="A6" s="14">
        <v>4</v>
      </c>
      <c r="B6" s="14" t="s">
        <v>27</v>
      </c>
      <c r="C6" s="14">
        <v>98.05</v>
      </c>
      <c r="D6" s="14" t="s">
        <v>45</v>
      </c>
    </row>
    <row r="7" spans="1:5">
      <c r="A7" s="13">
        <v>5</v>
      </c>
      <c r="B7" s="13" t="s">
        <v>24</v>
      </c>
      <c r="C7" s="13">
        <v>97.63</v>
      </c>
      <c r="D7" s="13" t="s">
        <v>45</v>
      </c>
    </row>
    <row r="8" spans="1:5">
      <c r="A8" s="14">
        <v>6</v>
      </c>
      <c r="B8" s="14" t="s">
        <v>32</v>
      </c>
      <c r="C8" s="14">
        <v>97.61</v>
      </c>
      <c r="D8" s="14" t="s">
        <v>45</v>
      </c>
    </row>
    <row r="9" spans="1:5">
      <c r="A9" s="13">
        <v>7</v>
      </c>
      <c r="B9" s="13" t="s">
        <v>33</v>
      </c>
      <c r="C9" s="13">
        <v>97.37</v>
      </c>
      <c r="D9" s="13" t="s">
        <v>45</v>
      </c>
    </row>
    <row r="10" spans="1:5">
      <c r="A10" s="14">
        <v>8</v>
      </c>
      <c r="B10" s="14" t="s">
        <v>14</v>
      </c>
      <c r="C10" s="14">
        <v>97.28</v>
      </c>
      <c r="D10" s="14" t="s">
        <v>45</v>
      </c>
    </row>
    <row r="11" spans="1:5">
      <c r="A11" s="13">
        <v>9</v>
      </c>
      <c r="B11" s="13" t="s">
        <v>29</v>
      </c>
      <c r="C11" s="13">
        <v>96.5</v>
      </c>
      <c r="D11" s="13" t="s">
        <v>46</v>
      </c>
    </row>
    <row r="12" spans="1:5">
      <c r="A12" s="14">
        <v>10</v>
      </c>
      <c r="B12" s="14" t="s">
        <v>22</v>
      </c>
      <c r="C12" s="14">
        <v>96.12</v>
      </c>
      <c r="D12" s="14" t="s">
        <v>46</v>
      </c>
    </row>
    <row r="13" spans="1:5">
      <c r="A13" s="13">
        <v>11</v>
      </c>
      <c r="B13" s="13" t="s">
        <v>21</v>
      </c>
      <c r="C13" s="13">
        <v>95.89</v>
      </c>
      <c r="D13" s="13" t="s">
        <v>46</v>
      </c>
    </row>
    <row r="14" spans="1:5">
      <c r="A14" s="14">
        <v>12</v>
      </c>
      <c r="B14" s="14" t="s">
        <v>31</v>
      </c>
      <c r="C14" s="14">
        <v>95.67</v>
      </c>
      <c r="D14" s="14" t="s">
        <v>46</v>
      </c>
    </row>
    <row r="15" spans="1:5">
      <c r="A15" s="13">
        <v>13</v>
      </c>
      <c r="B15" s="13" t="s">
        <v>35</v>
      </c>
      <c r="C15" s="13">
        <v>95.48</v>
      </c>
      <c r="D15" s="13" t="s">
        <v>46</v>
      </c>
    </row>
    <row r="16" spans="1:5">
      <c r="A16" s="14">
        <v>14</v>
      </c>
      <c r="B16" s="14" t="s">
        <v>20</v>
      </c>
      <c r="C16" s="14">
        <v>94.83</v>
      </c>
      <c r="D16" s="14" t="s">
        <v>46</v>
      </c>
    </row>
    <row r="17" spans="1:8">
      <c r="A17" s="13">
        <v>15</v>
      </c>
      <c r="B17" s="13" t="s">
        <v>34</v>
      </c>
      <c r="C17" s="13">
        <v>94.74</v>
      </c>
      <c r="D17" s="13" t="s">
        <v>46</v>
      </c>
    </row>
    <row r="18" spans="1:8">
      <c r="A18" s="14">
        <v>16</v>
      </c>
      <c r="B18" s="14" t="s">
        <v>25</v>
      </c>
      <c r="C18" s="14">
        <v>94.6</v>
      </c>
      <c r="D18" s="14" t="s">
        <v>46</v>
      </c>
    </row>
    <row r="19" spans="1:8">
      <c r="A19" s="13">
        <v>17</v>
      </c>
      <c r="B19" s="13" t="s">
        <v>28</v>
      </c>
      <c r="C19" s="13">
        <v>94.03</v>
      </c>
      <c r="D19" s="13" t="s">
        <v>46</v>
      </c>
    </row>
    <row r="20" spans="1:8">
      <c r="A20" s="14">
        <v>18</v>
      </c>
      <c r="B20" s="14" t="s">
        <v>23</v>
      </c>
      <c r="C20" s="14">
        <v>92.88</v>
      </c>
      <c r="D20" s="14" t="s">
        <v>46</v>
      </c>
    </row>
    <row r="23" ht="22" customHeight="1" spans="1:8">
      <c r="A23" s="10" t="s">
        <v>47</v>
      </c>
      <c r="B23" s="10"/>
      <c r="C23" s="10"/>
      <c r="D23" s="10"/>
      <c r="E23" s="10"/>
      <c r="F23" s="10"/>
      <c r="G23" s="10"/>
      <c r="H23" s="10"/>
    </row>
    <row r="24" ht="28.8" spans="1:8">
      <c r="A24" s="12" t="s">
        <v>3</v>
      </c>
      <c r="B24" s="12" t="s">
        <v>48</v>
      </c>
      <c r="C24" s="12" t="s">
        <v>49</v>
      </c>
      <c r="D24" s="12" t="s">
        <v>50</v>
      </c>
      <c r="E24" s="12" t="s">
        <v>51</v>
      </c>
      <c r="F24" s="12" t="s">
        <v>52</v>
      </c>
      <c r="G24" s="12" t="s">
        <v>53</v>
      </c>
      <c r="H24" s="12" t="s">
        <v>54</v>
      </c>
    </row>
    <row r="25" spans="1:8">
      <c r="A25" s="13" t="s">
        <v>15</v>
      </c>
      <c r="B25" s="15">
        <v>83837</v>
      </c>
      <c r="C25" s="13" t="s">
        <v>55</v>
      </c>
      <c r="D25" s="13">
        <v>80474</v>
      </c>
      <c r="E25" s="13">
        <v>3026.83277429068</v>
      </c>
      <c r="F25" s="13">
        <v>94.31</v>
      </c>
      <c r="G25" s="13"/>
      <c r="H25" s="13" t="s">
        <v>56</v>
      </c>
    </row>
    <row r="26" spans="1:8">
      <c r="A26" s="14" t="s">
        <v>17</v>
      </c>
      <c r="B26" s="14">
        <v>86513</v>
      </c>
      <c r="C26" s="14">
        <f>(B26-B25)/B25</f>
        <v>0.0319190810739888</v>
      </c>
      <c r="D26" s="14">
        <v>84766</v>
      </c>
      <c r="E26" s="14">
        <v>3527.01139810385</v>
      </c>
      <c r="F26" s="14">
        <v>96.77</v>
      </c>
      <c r="G26" s="14">
        <v>2.46</v>
      </c>
      <c r="H26" s="14" t="s">
        <v>56</v>
      </c>
    </row>
    <row r="27" spans="1:8">
      <c r="A27" s="13" t="s">
        <v>18</v>
      </c>
      <c r="B27" s="13">
        <v>87740</v>
      </c>
      <c r="C27" s="13">
        <f>(B27-B26)/B26</f>
        <v>0.0141828395732433</v>
      </c>
      <c r="D27" s="13">
        <v>86175</v>
      </c>
      <c r="E27" s="13">
        <v>4148.85131629486</v>
      </c>
      <c r="F27" s="13">
        <v>96.53</v>
      </c>
      <c r="G27" s="13">
        <v>-0.24</v>
      </c>
      <c r="H27" s="13" t="s">
        <v>56</v>
      </c>
    </row>
    <row r="28" spans="1:8">
      <c r="A28" s="14" t="s">
        <v>19</v>
      </c>
      <c r="B28" s="14">
        <v>112806</v>
      </c>
      <c r="C28" s="14">
        <f>(B28-B27)/B27</f>
        <v>0.285684978345111</v>
      </c>
      <c r="D28" s="14">
        <v>111066</v>
      </c>
      <c r="E28" s="14">
        <v>6307.80621286637</v>
      </c>
      <c r="F28" s="14">
        <v>97.86</v>
      </c>
      <c r="G28" s="14">
        <v>1.33</v>
      </c>
      <c r="H28" s="14" t="s">
        <v>57</v>
      </c>
    </row>
    <row r="29" spans="1:8">
      <c r="A29" s="13" t="s">
        <v>37</v>
      </c>
      <c r="B29" s="13">
        <v>8067</v>
      </c>
      <c r="C29" s="13">
        <f>(B29-B28)/B28</f>
        <v>-0.928487846391149</v>
      </c>
      <c r="D29" s="13">
        <v>7950</v>
      </c>
      <c r="E29" s="13">
        <v>1518.17</v>
      </c>
      <c r="F29" s="13">
        <v>98.53</v>
      </c>
      <c r="G29" s="13">
        <v>0.67</v>
      </c>
      <c r="H29" s="13" t="s">
        <v>57</v>
      </c>
    </row>
    <row r="33" ht="22" customHeight="1" spans="1:4">
      <c r="A33" s="10" t="s">
        <v>58</v>
      </c>
      <c r="B33" s="10"/>
      <c r="C33" s="10"/>
      <c r="D33" s="16"/>
    </row>
    <row r="34" ht="28.8" spans="1:4">
      <c r="A34" s="12" t="s">
        <v>3</v>
      </c>
      <c r="B34" s="12" t="s">
        <v>59</v>
      </c>
      <c r="C34" s="12" t="s">
        <v>60</v>
      </c>
    </row>
    <row r="35" spans="1:4">
      <c r="A35" s="13" t="s">
        <v>15</v>
      </c>
      <c r="B35" s="13">
        <v>94.31</v>
      </c>
      <c r="C35" s="13">
        <v>92.28</v>
      </c>
    </row>
    <row r="36" spans="1:4">
      <c r="A36" s="14" t="s">
        <v>17</v>
      </c>
      <c r="B36" s="14">
        <v>96.77</v>
      </c>
      <c r="C36" s="14">
        <v>92.05</v>
      </c>
    </row>
    <row r="37" spans="1:4">
      <c r="A37" s="13" t="s">
        <v>18</v>
      </c>
      <c r="B37" s="13">
        <v>96.53</v>
      </c>
      <c r="C37" s="13">
        <v>92.79</v>
      </c>
    </row>
    <row r="38" spans="1:4">
      <c r="A38" s="14" t="s">
        <v>19</v>
      </c>
      <c r="B38" s="14">
        <v>97.86</v>
      </c>
      <c r="C38" s="14">
        <v>92.37</v>
      </c>
    </row>
    <row r="39" spans="1:4">
      <c r="A39" s="13" t="s">
        <v>37</v>
      </c>
      <c r="B39" s="13">
        <v>98.53</v>
      </c>
      <c r="C39" s="13">
        <v>99.43</v>
      </c>
    </row>
  </sheetData>
  <mergeCells count="3">
    <mergeCell ref="A1:D1"/>
    <mergeCell ref="A23:H23"/>
    <mergeCell ref="A33:C33"/>
  </mergeCells>
  <conditionalFormatting sqref="C3:C20">
    <cfRule type="colorScale" priority="1">
      <colorScale>
        <cfvo type="min"/>
        <cfvo type="max"/>
        <color rgb="FFFF9999"/>
        <color rgb="FF00B050"/>
      </colorScale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H24" sqref="H24"/>
    </sheetView>
  </sheetViews>
  <sheetFormatPr defaultColWidth="8.88888888888889" defaultRowHeight="14.4"/>
  <cols>
    <col min="1" max="1" width="16.2222222222222" customWidth="1"/>
  </cols>
  <sheetData>
    <row r="1" spans="1:9">
      <c r="A1" t="s">
        <v>30</v>
      </c>
      <c r="B1">
        <v>98.89</v>
      </c>
      <c r="D1" t="s">
        <v>15</v>
      </c>
      <c r="E1">
        <v>94.31</v>
      </c>
      <c r="G1" t="s">
        <v>15</v>
      </c>
      <c r="H1">
        <v>94.31</v>
      </c>
      <c r="I1">
        <v>92.28</v>
      </c>
    </row>
    <row r="2" spans="1:9">
      <c r="A2" t="s">
        <v>36</v>
      </c>
      <c r="B2">
        <v>98.54</v>
      </c>
      <c r="D2" t="s">
        <v>17</v>
      </c>
      <c r="E2">
        <v>96.77</v>
      </c>
      <c r="G2" t="s">
        <v>17</v>
      </c>
      <c r="H2">
        <v>96.77</v>
      </c>
      <c r="I2">
        <v>92.05</v>
      </c>
    </row>
    <row r="3" spans="1:9">
      <c r="A3" t="s">
        <v>26</v>
      </c>
      <c r="B3">
        <v>98.48</v>
      </c>
      <c r="D3" t="s">
        <v>18</v>
      </c>
      <c r="E3">
        <v>96.53</v>
      </c>
      <c r="G3" t="s">
        <v>18</v>
      </c>
      <c r="H3">
        <v>96.53</v>
      </c>
      <c r="I3">
        <v>92.79</v>
      </c>
    </row>
    <row r="4" spans="1:9">
      <c r="A4" t="s">
        <v>27</v>
      </c>
      <c r="B4">
        <v>98.05</v>
      </c>
      <c r="D4" t="s">
        <v>19</v>
      </c>
      <c r="E4">
        <v>97.86</v>
      </c>
      <c r="G4" t="s">
        <v>19</v>
      </c>
      <c r="H4">
        <v>97.86</v>
      </c>
      <c r="I4">
        <v>92.37</v>
      </c>
    </row>
    <row r="5" spans="1:9">
      <c r="A5" t="s">
        <v>24</v>
      </c>
      <c r="B5">
        <v>97.63</v>
      </c>
      <c r="D5" t="s">
        <v>37</v>
      </c>
      <c r="E5">
        <v>98.53</v>
      </c>
      <c r="G5" t="s">
        <v>37</v>
      </c>
      <c r="H5">
        <v>98.53</v>
      </c>
      <c r="I5">
        <v>99.43</v>
      </c>
    </row>
    <row r="6" spans="1:9">
      <c r="A6" t="s">
        <v>20</v>
      </c>
      <c r="B6">
        <v>94.83</v>
      </c>
    </row>
    <row r="7" spans="1:9">
      <c r="A7" t="s">
        <v>34</v>
      </c>
      <c r="B7">
        <v>94.74</v>
      </c>
    </row>
    <row r="8" spans="1:9">
      <c r="A8" t="s">
        <v>25</v>
      </c>
      <c r="B8">
        <v>94.6</v>
      </c>
    </row>
    <row r="9" spans="1:9">
      <c r="A9" t="s">
        <v>28</v>
      </c>
      <c r="B9">
        <v>94.03</v>
      </c>
    </row>
    <row r="10" spans="1:9">
      <c r="A10" t="s">
        <v>23</v>
      </c>
      <c r="B10">
        <v>92.88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8"/>
  <sheetViews>
    <sheetView showGridLines="0" zoomScale="42" zoomScaleNormal="42" workbookViewId="0">
      <selection activeCell="J5" sqref="J5:K5"/>
    </sheetView>
  </sheetViews>
  <sheetFormatPr defaultColWidth="9" defaultRowHeight="14.4"/>
  <cols>
    <col min="1" max="24" width="14" customWidth="1"/>
  </cols>
  <sheetData>
    <row r="1" customFormat="1" ht="32" customHeight="1" spans="1:24">
      <c r="A1" s="1" t="s">
        <v>61</v>
      </c>
    </row>
    <row r="2" customFormat="1" spans="1:24">
      <c r="A2" s="2" t="s">
        <v>62</v>
      </c>
    </row>
    <row r="3" customFormat="1" spans="1:24">
      <c r="A3" s="3" t="s">
        <v>63</v>
      </c>
    </row>
    <row r="5" customFormat="1" ht="45" customHeight="1" spans="1:24">
      <c r="A5" s="4" t="s">
        <v>64</v>
      </c>
      <c r="D5" s="4" t="s">
        <v>65</v>
      </c>
      <c r="G5" s="5" t="s">
        <v>66</v>
      </c>
      <c r="J5" s="21" t="s">
        <v>67</v>
      </c>
      <c r="M5" s="6" t="s">
        <v>34</v>
      </c>
    </row>
    <row r="6" customFormat="1" ht="32" customHeight="1" spans="1:24">
      <c r="A6" s="7" t="s">
        <v>68</v>
      </c>
      <c r="D6" s="7" t="s">
        <v>69</v>
      </c>
      <c r="G6" s="7" t="s">
        <v>70</v>
      </c>
      <c r="J6" s="7" t="s">
        <v>71</v>
      </c>
      <c r="M6" s="7" t="s">
        <v>72</v>
      </c>
    </row>
    <row r="9" customFormat="1" spans="1:24">
      <c r="P9" s="8"/>
      <c r="Q9" s="8"/>
      <c r="S9" s="8"/>
      <c r="T9" s="8"/>
      <c r="V9" s="8"/>
      <c r="W9" s="8"/>
      <c r="X9" s="8"/>
    </row>
    <row r="38" customFormat="1" ht="20" customHeight="1" spans="1:14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</sheetData>
  <mergeCells count="13">
    <mergeCell ref="A1:S1"/>
    <mergeCell ref="A2:S2"/>
    <mergeCell ref="A3:S3"/>
    <mergeCell ref="A5:B5"/>
    <mergeCell ref="D5:E5"/>
    <mergeCell ref="G5:H5"/>
    <mergeCell ref="J5:K5"/>
    <mergeCell ref="M5:N5"/>
    <mergeCell ref="A6:B6"/>
    <mergeCell ref="D6:E6"/>
    <mergeCell ref="G6:H6"/>
    <mergeCell ref="J6:K6"/>
    <mergeCell ref="M6:N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Individual_Data</vt:lpstr>
      <vt:lpstr>Group_Data</vt:lpstr>
      <vt:lpstr>Analysis</vt:lpstr>
      <vt:lpstr>Pivot_Tables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Xuân Mai Trịnh</cp:lastModifiedBy>
  <dcterms:created xsi:type="dcterms:W3CDTF">2026-07-07T03:16:00Z</dcterms:created>
  <dcterms:modified xsi:type="dcterms:W3CDTF">2026-07-08T07:21:36Z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A08E6B3341064E94A298323FCAB10B5C_12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